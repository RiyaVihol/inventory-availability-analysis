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xr:revisionPtr revIDLastSave="0" documentId="8_{7D96B9C7-EB16-434B-899B-C3E8200D20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s" sheetId="3" r:id="rId1"/>
    <sheet name="OMS_Data" sheetId="1" r:id="rId2"/>
    <sheet name="Data_Dictionary" sheetId="2" r:id="rId3"/>
  </sheets>
  <definedNames>
    <definedName name="Slicer_Availability_Status">#N/A</definedName>
    <definedName name="Slicer_Data_Error">#N/A</definedName>
    <definedName name="Slicer_Order_Status1">#N/A</definedName>
  </definedNames>
  <calcPr calcId="191028"/>
  <pivotCaches>
    <pivotCache cacheId="5" r:id="rId4"/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3" l="1"/>
  <c r="A24" i="3"/>
  <c r="A4" i="3"/>
  <c r="O2" i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<sst xmlns="http://schemas.openxmlformats.org/spreadsheetml/2006/main" count="427" uniqueCount="74">
  <si>
    <t>OMS Inventory &amp; Order Analysis Dashboard</t>
  </si>
  <si>
    <t>TOTAL ORDERS</t>
  </si>
  <si>
    <t>Product_Name</t>
  </si>
  <si>
    <t>Count of Product_Name</t>
  </si>
  <si>
    <t>4K Monitor</t>
  </si>
  <si>
    <t>Tablet Air</t>
  </si>
  <si>
    <t>Wireless Headphones</t>
  </si>
  <si>
    <t>Grand Total</t>
  </si>
  <si>
    <t>Data_Error</t>
  </si>
  <si>
    <t>Store_ID</t>
  </si>
  <si>
    <t>Count of Data_Error</t>
  </si>
  <si>
    <t>S01</t>
  </si>
  <si>
    <t>S02</t>
  </si>
  <si>
    <t>S03</t>
  </si>
  <si>
    <t>S04</t>
  </si>
  <si>
    <t>S05</t>
  </si>
  <si>
    <t>CANCELLED ORDERS</t>
  </si>
  <si>
    <t>Count of Order_ID</t>
  </si>
  <si>
    <t>INVENTORY DISCREPANCY</t>
  </si>
  <si>
    <t>Sum of Diff value</t>
  </si>
  <si>
    <t>Order_ID</t>
  </si>
  <si>
    <t>Order_Date</t>
  </si>
  <si>
    <t>Product_ID</t>
  </si>
  <si>
    <t>Stock_Before_Order</t>
  </si>
  <si>
    <t>Quantity_Ordered</t>
  </si>
  <si>
    <t>Stock_After_Order</t>
  </si>
  <si>
    <t>System_Stock</t>
  </si>
  <si>
    <t>Actual_Stock</t>
  </si>
  <si>
    <t>Order_Status</t>
  </si>
  <si>
    <t>Cancellation_Reason</t>
  </si>
  <si>
    <t>Availability_Status</t>
  </si>
  <si>
    <t>Diff value</t>
  </si>
  <si>
    <t>P001</t>
  </si>
  <si>
    <t>Laptop Pro 14</t>
  </si>
  <si>
    <t>Completed</t>
  </si>
  <si>
    <t>None</t>
  </si>
  <si>
    <t>Available</t>
  </si>
  <si>
    <t>No</t>
  </si>
  <si>
    <t>P002</t>
  </si>
  <si>
    <t>P003</t>
  </si>
  <si>
    <t>Mechanical Keyboard</t>
  </si>
  <si>
    <t>P004</t>
  </si>
  <si>
    <t>USB-C Hub</t>
  </si>
  <si>
    <t>P005</t>
  </si>
  <si>
    <t>Cancelled</t>
  </si>
  <si>
    <t>Out of stock</t>
  </si>
  <si>
    <t>Out of Stock</t>
  </si>
  <si>
    <t>yes</t>
  </si>
  <si>
    <t>P006</t>
  </si>
  <si>
    <t>Wireless Mouse</t>
  </si>
  <si>
    <t>P007</t>
  </si>
  <si>
    <t>Smartphone X</t>
  </si>
  <si>
    <t>P008</t>
  </si>
  <si>
    <t>P009</t>
  </si>
  <si>
    <t>Power Bank</t>
  </si>
  <si>
    <t>P010</t>
  </si>
  <si>
    <t>Webcam HD</t>
  </si>
  <si>
    <t>Yes</t>
  </si>
  <si>
    <t>Column</t>
  </si>
  <si>
    <t>Meaning</t>
  </si>
  <si>
    <t>Unique order identifier</t>
  </si>
  <si>
    <t>Date of the order</t>
  </si>
  <si>
    <t>Store identifier</t>
  </si>
  <si>
    <t>Product identifier</t>
  </si>
  <si>
    <t>Product name</t>
  </si>
  <si>
    <t>Stock recorded before the order</t>
  </si>
  <si>
    <t>Units requested in the order</t>
  </si>
  <si>
    <t>Stock expected after the order</t>
  </si>
  <si>
    <t>Stock shown by the system</t>
  </si>
  <si>
    <t>Stock physically/currently available</t>
  </si>
  <si>
    <t>Order outcome</t>
  </si>
  <si>
    <t>Reason if the order was cancelled</t>
  </si>
  <si>
    <t>Availability shown to the customer</t>
  </si>
  <si>
    <t>Whether system stock differs from actual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</si>
</sst>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[OMS_Inventory_Analysis_.xlsx]Dashboards!PivotTable1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Most Frequently Out of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Dashboards!$A$8:$A$11</c:f>
              <c:strCache>
                <c:ptCount val="3"/>
                <c:pt idx="0">
                  <c:v>4K Monitor</c:v>
                </c:pt>
                <c:pt idx="1">
                  <c:v>Tablet Air</c:v>
                </c:pt>
                <c:pt idx="2">
                  <c:v>Wireless Headphones</c:v>
                </c:pt>
              </c:strCache>
            </c:strRef>
          </c:cat>
          <c:val>
            <c:numRef>
              <c:f>Dashboards!$B$8:$B$11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0-460A-8B6D-9693ADD81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816072"/>
        <c:axId val="1025818120"/>
      </c:barChart>
      <c:catAx>
        <c:axId val="1025816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18120"/>
        <c:crosses val="autoZero"/>
        <c:auto val="1"/>
        <c:lblAlgn val="ctr"/>
        <c:lblOffset val="100"/>
        <c:noMultiLvlLbl val="0"/>
      </c:catAx>
      <c:valAx>
        <c:axId val="102581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1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[OMS_Inventory_Analysis_.xlsx]Dashboards!PivotTable2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Errors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Dashboards!$A$28:$A$33</c:f>
              <c:strCache>
                <c:ptCount val="5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</c:strCache>
            </c:strRef>
          </c:cat>
          <c:val>
            <c:numRef>
              <c:f>Dashboards!$B$28:$B$33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B-4F0B-9D4F-10DF55455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088263"/>
        <c:axId val="1213237767"/>
      </c:barChart>
      <c:catAx>
        <c:axId val="121308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37767"/>
        <c:crosses val="autoZero"/>
        <c:auto val="1"/>
        <c:lblAlgn val="ctr"/>
        <c:lblOffset val="100"/>
        <c:noMultiLvlLbl val="0"/>
      </c:catAx>
      <c:valAx>
        <c:axId val="1213237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88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[OMS_Inventory_Analysis_.xlsx]Dashboards!PivotTable4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Cancelled Orders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Dashboards!$A$41:$A$43</c:f>
              <c:strCache>
                <c:ptCount val="2"/>
                <c:pt idx="0">
                  <c:v>S03</c:v>
                </c:pt>
                <c:pt idx="1">
                  <c:v>S04</c:v>
                </c:pt>
              </c:strCache>
            </c:strRef>
          </c:cat>
          <c:val>
            <c:numRef>
              <c:f>Dashboards!$B$41:$B$43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C-4053-BDC5-74A7A88A9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991816"/>
        <c:axId val="2060747784"/>
      </c:barChart>
      <c:catAx>
        <c:axId val="194399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47784"/>
        <c:crosses val="autoZero"/>
        <c:auto val="1"/>
        <c:lblAlgn val="ctr"/>
        <c:lblOffset val="100"/>
        <c:noMultiLvlLbl val="0"/>
      </c:catAx>
      <c:valAx>
        <c:axId val="206074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9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[OMS_Inventory_Analysis_.xlsx]Dashboards!PivotTable8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Discrepancy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Dashboards!$A$60:$A$65</c:f>
              <c:strCache>
                <c:ptCount val="5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</c:strCache>
            </c:strRef>
          </c:cat>
          <c:val>
            <c:numRef>
              <c:f>Dashboards!$B$60:$B$65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E-4F78-BCCD-7A550D989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91623"/>
        <c:axId val="127793671"/>
      </c:barChart>
      <c:catAx>
        <c:axId val="12779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3671"/>
        <c:crosses val="autoZero"/>
        <c:auto val="1"/>
        <c:lblAlgn val="ctr"/>
        <c:lblOffset val="100"/>
        <c:noMultiLvlLbl val="0"/>
      </c:catAx>
      <c:valAx>
        <c:axId val="127793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5</xdr:row>
      <xdr:rowOff>133350</xdr:rowOff>
    </xdr:from>
    <xdr:to>
      <xdr:col>3</xdr:col>
      <xdr:colOff>752475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vailability_Status">
              <a:extLst>
                <a:ext uri="{FF2B5EF4-FFF2-40B4-BE49-F238E27FC236}">
                  <a16:creationId xmlns:a16="http://schemas.microsoft.com/office/drawing/2014/main" id="{C92EE0C1-AF27-2B2C-8842-C6D0F8AC80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vailability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219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542925</xdr:colOff>
      <xdr:row>3</xdr:row>
      <xdr:rowOff>104775</xdr:rowOff>
    </xdr:from>
    <xdr:to>
      <xdr:col>13</xdr:col>
      <xdr:colOff>238125</xdr:colOff>
      <xdr:row>19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356EF1-D61F-2286-3B9F-FBF44BA600A4}"/>
            </a:ext>
            <a:ext uri="{147F2762-F138-4A5C-976F-8EAC2B608ADB}">
              <a16:predDERef xmlns:a16="http://schemas.microsoft.com/office/drawing/2014/main" pred="{C92EE0C1-AF27-2B2C-8842-C6D0F8AC8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209550</xdr:colOff>
      <xdr:row>26</xdr:row>
      <xdr:rowOff>38100</xdr:rowOff>
    </xdr:from>
    <xdr:to>
      <xdr:col>3</xdr:col>
      <xdr:colOff>628650</xdr:colOff>
      <xdr:row>33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_Error 1">
              <a:extLst>
                <a:ext uri="{FF2B5EF4-FFF2-40B4-BE49-F238E27FC236}">
                  <a16:creationId xmlns:a16="http://schemas.microsoft.com/office/drawing/2014/main" id="{1C2177C3-65DA-5171-2B7B-DD22FB2234B0}"/>
                </a:ext>
                <a:ext uri="{147F2762-F138-4A5C-976F-8EAC2B608ADB}">
                  <a16:predDERef xmlns:a16="http://schemas.microsoft.com/office/drawing/2014/main" pred="{90356EF1-D61F-2286-3B9F-FBF44BA600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_Err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4991100"/>
              <a:ext cx="18288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133350</xdr:colOff>
      <xdr:row>39</xdr:row>
      <xdr:rowOff>47625</xdr:rowOff>
    </xdr:from>
    <xdr:to>
      <xdr:col>3</xdr:col>
      <xdr:colOff>552450</xdr:colOff>
      <xdr:row>44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Order_Status">
              <a:extLst>
                <a:ext uri="{FF2B5EF4-FFF2-40B4-BE49-F238E27FC236}">
                  <a16:creationId xmlns:a16="http://schemas.microsoft.com/office/drawing/2014/main" id="{B53ADE84-0D4F-2FAB-597E-1C64FEA7482E}"/>
                </a:ext>
                <a:ext uri="{147F2762-F138-4A5C-976F-8EAC2B608ADB}">
                  <a16:predDERef xmlns:a16="http://schemas.microsoft.com/office/drawing/2014/main" pred="{1C2177C3-65DA-5171-2B7B-DD22FB2234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7477125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485775</xdr:colOff>
      <xdr:row>22</xdr:row>
      <xdr:rowOff>180975</xdr:rowOff>
    </xdr:from>
    <xdr:to>
      <xdr:col>12</xdr:col>
      <xdr:colOff>295275</xdr:colOff>
      <xdr:row>34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DC6E66-F609-880E-16DC-6966C57FAD89}"/>
            </a:ext>
            <a:ext uri="{147F2762-F138-4A5C-976F-8EAC2B608ADB}">
              <a16:predDERef xmlns:a16="http://schemas.microsoft.com/office/drawing/2014/main" pred="{B53ADE84-0D4F-2FAB-597E-1C64FEA74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36</xdr:row>
      <xdr:rowOff>123825</xdr:rowOff>
    </xdr:from>
    <xdr:to>
      <xdr:col>11</xdr:col>
      <xdr:colOff>419100</xdr:colOff>
      <xdr:row>53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4A746D-ADFD-9F9E-6C77-25B1B5E56E34}"/>
            </a:ext>
            <a:ext uri="{147F2762-F138-4A5C-976F-8EAC2B608ADB}">
              <a16:predDERef xmlns:a16="http://schemas.microsoft.com/office/drawing/2014/main" pred="{16DC6E66-F609-880E-16DC-6966C57FA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638175</xdr:colOff>
      <xdr:row>56</xdr:row>
      <xdr:rowOff>47625</xdr:rowOff>
    </xdr:from>
    <xdr:to>
      <xdr:col>11</xdr:col>
      <xdr:colOff>161925</xdr:colOff>
      <xdr:row>70</xdr:row>
      <xdr:rowOff>123825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60E499-9072-CB96-390E-79661BA9C868}"/>
            </a:ext>
            <a:ext uri="{147F2762-F138-4A5C-976F-8EAC2B608ADB}">
              <a16:predDERef xmlns:a16="http://schemas.microsoft.com/office/drawing/2014/main" pred="{704A746D-ADFD-9F9E-6C77-25B1B5E56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5.426201388887" createdVersion="8" refreshedVersion="8" minRefreshableVersion="3" recordCount="50" xr:uid="{F348592E-EA37-4D4B-A594-F78FFD54800D}">
  <cacheSource type="worksheet">
    <worksheetSource ref="A1:N51" sheet="OMS_Data"/>
  </cacheSource>
  <cacheFields count="14">
    <cacheField name="Order_ID" numFmtId="0">
      <sharedItems containsSemiMixedTypes="0" containsString="0" containsNumber="1" containsInteger="1" minValue="1001" maxValue="1050" count="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</sharedItems>
    </cacheField>
    <cacheField name="Order_Date" numFmtId="164">
      <sharedItems containsSemiMixedTypes="0" containsNonDate="0" containsDate="1" containsString="0" minDate="2026-07-01T00:00:00" maxDate="2026-07-19T00:00:00"/>
    </cacheField>
    <cacheField name="Store_ID" numFmtId="0">
      <sharedItems count="5">
        <s v="S01"/>
        <s v="S02"/>
        <s v="S03"/>
        <s v="S04"/>
        <s v="S05"/>
      </sharedItems>
    </cacheField>
    <cacheField name="Product_ID" numFmtId="0">
      <sharedItems/>
    </cacheField>
    <cacheField name="Product_Name" numFmtId="0">
      <sharedItems count="10">
        <s v="Laptop Pro 14"/>
        <s v="Wireless Headphones"/>
        <s v="Mechanical Keyboard"/>
        <s v="USB-C Hub"/>
        <s v="4K Monitor"/>
        <s v="Wireless Mouse"/>
        <s v="Smartphone X"/>
        <s v="Tablet Air"/>
        <s v="Power Bank"/>
        <s v="Webcam HD"/>
      </sharedItems>
    </cacheField>
    <cacheField name="Stock_Before_Order" numFmtId="0">
      <sharedItems containsSemiMixedTypes="0" containsString="0" containsNumber="1" containsInteger="1" minValue="5" maxValue="30"/>
    </cacheField>
    <cacheField name="Quantity_Ordered" numFmtId="0">
      <sharedItems containsSemiMixedTypes="0" containsString="0" containsNumber="1" containsInteger="1" minValue="2" maxValue="6"/>
    </cacheField>
    <cacheField name="Stock_After_Order" numFmtId="0">
      <sharedItems containsSemiMixedTypes="0" containsString="0" containsNumber="1" containsInteger="1" minValue="3" maxValue="25"/>
    </cacheField>
    <cacheField name="System_Stock" numFmtId="0">
      <sharedItems containsSemiMixedTypes="0" containsString="0" containsNumber="1" containsInteger="1" minValue="3" maxValue="25"/>
    </cacheField>
    <cacheField name="Actual_Stock" numFmtId="0">
      <sharedItems containsSemiMixedTypes="0" containsString="0" containsNumber="1" containsInteger="1" minValue="0" maxValue="25"/>
    </cacheField>
    <cacheField name="Order_Status" numFmtId="0">
      <sharedItems count="2">
        <s v="Completed"/>
        <s v="Cancelled"/>
      </sharedItems>
    </cacheField>
    <cacheField name="Cancellation_Reason" numFmtId="0">
      <sharedItems count="2">
        <s v="None"/>
        <s v="Out of stock"/>
      </sharedItems>
    </cacheField>
    <cacheField name="Availability_Status" numFmtId="0">
      <sharedItems count="2">
        <s v="Available"/>
        <s v="Out of Stock"/>
      </sharedItems>
    </cacheField>
    <cacheField name="Data_Erro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46079757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5.533842939818" createdVersion="8" refreshedVersion="8" minRefreshableVersion="3" recordCount="50" xr:uid="{2693D023-6569-49DA-AA7E-71C318C5E415}">
  <cacheSource type="worksheet">
    <worksheetSource ref="A1:O51" sheet="OMS_Data"/>
  </cacheSource>
  <cacheFields count="15">
    <cacheField name="Order_ID" numFmtId="0">
      <sharedItems containsSemiMixedTypes="0" containsString="0" containsNumber="1" containsInteger="1" minValue="1001" maxValue="1050"/>
    </cacheField>
    <cacheField name="Order_Date" numFmtId="164">
      <sharedItems containsSemiMixedTypes="0" containsNonDate="0" containsDate="1" containsString="0" minDate="2026-07-01T00:00:00" maxDate="2026-07-19T00:00:00"/>
    </cacheField>
    <cacheField name="Store_ID" numFmtId="0">
      <sharedItems count="5">
        <s v="S01"/>
        <s v="S02"/>
        <s v="S03"/>
        <s v="S04"/>
        <s v="S05"/>
      </sharedItems>
    </cacheField>
    <cacheField name="Product_ID" numFmtId="0">
      <sharedItems/>
    </cacheField>
    <cacheField name="Product_Name" numFmtId="0">
      <sharedItems/>
    </cacheField>
    <cacheField name="Stock_Before_Order" numFmtId="0">
      <sharedItems containsSemiMixedTypes="0" containsString="0" containsNumber="1" containsInteger="1" minValue="5" maxValue="30"/>
    </cacheField>
    <cacheField name="Quantity_Ordered" numFmtId="0">
      <sharedItems containsSemiMixedTypes="0" containsString="0" containsNumber="1" containsInteger="1" minValue="2" maxValue="6"/>
    </cacheField>
    <cacheField name="Stock_After_Order" numFmtId="0">
      <sharedItems containsSemiMixedTypes="0" containsString="0" containsNumber="1" containsInteger="1" minValue="3" maxValue="25"/>
    </cacheField>
    <cacheField name="System_Stock" numFmtId="0">
      <sharedItems containsSemiMixedTypes="0" containsString="0" containsNumber="1" containsInteger="1" minValue="3" maxValue="25"/>
    </cacheField>
    <cacheField name="Actual_Stock" numFmtId="0">
      <sharedItems containsSemiMixedTypes="0" containsString="0" containsNumber="1" containsInteger="1" minValue="0" maxValue="25"/>
    </cacheField>
    <cacheField name="Order_Status" numFmtId="0">
      <sharedItems/>
    </cacheField>
    <cacheField name="Cancellation_Reason" numFmtId="0">
      <sharedItems/>
    </cacheField>
    <cacheField name="Availability_Status" numFmtId="0">
      <sharedItems/>
    </cacheField>
    <cacheField name="Data_Error" numFmtId="0">
      <sharedItems/>
    </cacheField>
    <cacheField name="Diff value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d v="2026-07-01T00:00:00"/>
    <x v="0"/>
    <s v="P001"/>
    <x v="0"/>
    <n v="20"/>
    <n v="2"/>
    <n v="18"/>
    <n v="18"/>
    <n v="18"/>
    <x v="0"/>
    <x v="0"/>
    <x v="0"/>
    <x v="0"/>
  </r>
  <r>
    <x v="1"/>
    <d v="2026-07-01T00:00:00"/>
    <x v="0"/>
    <s v="P002"/>
    <x v="1"/>
    <n v="15"/>
    <n v="3"/>
    <n v="12"/>
    <n v="12"/>
    <n v="12"/>
    <x v="0"/>
    <x v="0"/>
    <x v="0"/>
    <x v="0"/>
  </r>
  <r>
    <x v="2"/>
    <d v="2026-07-01T00:00:00"/>
    <x v="0"/>
    <s v="P003"/>
    <x v="2"/>
    <n v="10"/>
    <n v="2"/>
    <n v="8"/>
    <n v="8"/>
    <n v="8"/>
    <x v="0"/>
    <x v="0"/>
    <x v="0"/>
    <x v="0"/>
  </r>
  <r>
    <x v="3"/>
    <d v="2026-07-01T00:00:00"/>
    <x v="0"/>
    <s v="P004"/>
    <x v="3"/>
    <n v="25"/>
    <n v="4"/>
    <n v="21"/>
    <n v="21"/>
    <n v="21"/>
    <x v="0"/>
    <x v="0"/>
    <x v="0"/>
    <x v="0"/>
  </r>
  <r>
    <x v="4"/>
    <d v="2026-07-02T00:00:00"/>
    <x v="0"/>
    <s v="P005"/>
    <x v="4"/>
    <n v="8"/>
    <n v="2"/>
    <n v="6"/>
    <n v="6"/>
    <n v="6"/>
    <x v="0"/>
    <x v="1"/>
    <x v="1"/>
    <x v="1"/>
  </r>
  <r>
    <x v="5"/>
    <d v="2026-07-02T00:00:00"/>
    <x v="0"/>
    <s v="P006"/>
    <x v="5"/>
    <n v="30"/>
    <n v="5"/>
    <n v="25"/>
    <n v="25"/>
    <n v="25"/>
    <x v="0"/>
    <x v="0"/>
    <x v="0"/>
    <x v="0"/>
  </r>
  <r>
    <x v="6"/>
    <d v="2026-07-02T00:00:00"/>
    <x v="0"/>
    <s v="P007"/>
    <x v="6"/>
    <n v="12"/>
    <n v="3"/>
    <n v="9"/>
    <n v="9"/>
    <n v="9"/>
    <x v="0"/>
    <x v="0"/>
    <x v="0"/>
    <x v="0"/>
  </r>
  <r>
    <x v="7"/>
    <d v="2026-07-03T00:00:00"/>
    <x v="0"/>
    <s v="P008"/>
    <x v="7"/>
    <n v="9"/>
    <n v="2"/>
    <n v="7"/>
    <n v="7"/>
    <n v="7"/>
    <x v="0"/>
    <x v="0"/>
    <x v="0"/>
    <x v="0"/>
  </r>
  <r>
    <x v="8"/>
    <d v="2026-07-03T00:00:00"/>
    <x v="0"/>
    <s v="P009"/>
    <x v="8"/>
    <n v="18"/>
    <n v="4"/>
    <n v="14"/>
    <n v="14"/>
    <n v="14"/>
    <x v="0"/>
    <x v="0"/>
    <x v="0"/>
    <x v="0"/>
  </r>
  <r>
    <x v="9"/>
    <d v="2026-07-03T00:00:00"/>
    <x v="0"/>
    <s v="P010"/>
    <x v="9"/>
    <n v="14"/>
    <n v="3"/>
    <n v="11"/>
    <n v="11"/>
    <n v="11"/>
    <x v="0"/>
    <x v="0"/>
    <x v="0"/>
    <x v="0"/>
  </r>
  <r>
    <x v="10"/>
    <d v="2026-07-04T00:00:00"/>
    <x v="1"/>
    <s v="P001"/>
    <x v="0"/>
    <n v="16"/>
    <n v="4"/>
    <n v="12"/>
    <n v="12"/>
    <n v="12"/>
    <x v="0"/>
    <x v="0"/>
    <x v="0"/>
    <x v="0"/>
  </r>
  <r>
    <x v="11"/>
    <d v="2026-07-04T00:00:00"/>
    <x v="1"/>
    <s v="P002"/>
    <x v="1"/>
    <n v="10"/>
    <n v="2"/>
    <n v="8"/>
    <n v="8"/>
    <n v="8"/>
    <x v="0"/>
    <x v="1"/>
    <x v="1"/>
    <x v="1"/>
  </r>
  <r>
    <x v="12"/>
    <d v="2026-07-04T00:00:00"/>
    <x v="1"/>
    <s v="P003"/>
    <x v="2"/>
    <n v="12"/>
    <n v="3"/>
    <n v="9"/>
    <n v="9"/>
    <n v="9"/>
    <x v="0"/>
    <x v="0"/>
    <x v="0"/>
    <x v="0"/>
  </r>
  <r>
    <x v="13"/>
    <d v="2026-07-05T00:00:00"/>
    <x v="1"/>
    <s v="P004"/>
    <x v="3"/>
    <n v="20"/>
    <n v="5"/>
    <n v="15"/>
    <n v="15"/>
    <n v="15"/>
    <x v="0"/>
    <x v="0"/>
    <x v="0"/>
    <x v="0"/>
  </r>
  <r>
    <x v="14"/>
    <d v="2026-07-05T00:00:00"/>
    <x v="1"/>
    <s v="P005"/>
    <x v="4"/>
    <n v="7"/>
    <n v="3"/>
    <n v="4"/>
    <n v="4"/>
    <n v="4"/>
    <x v="0"/>
    <x v="0"/>
    <x v="0"/>
    <x v="0"/>
  </r>
  <r>
    <x v="15"/>
    <d v="2026-07-05T00:00:00"/>
    <x v="1"/>
    <s v="P006"/>
    <x v="5"/>
    <n v="25"/>
    <n v="5"/>
    <n v="20"/>
    <n v="20"/>
    <n v="20"/>
    <x v="0"/>
    <x v="0"/>
    <x v="0"/>
    <x v="0"/>
  </r>
  <r>
    <x v="16"/>
    <d v="2026-07-06T00:00:00"/>
    <x v="1"/>
    <s v="P007"/>
    <x v="6"/>
    <n v="8"/>
    <n v="3"/>
    <n v="5"/>
    <n v="5"/>
    <n v="5"/>
    <x v="0"/>
    <x v="0"/>
    <x v="0"/>
    <x v="0"/>
  </r>
  <r>
    <x v="17"/>
    <d v="2026-07-06T00:00:00"/>
    <x v="1"/>
    <s v="P008"/>
    <x v="7"/>
    <n v="10"/>
    <n v="4"/>
    <n v="6"/>
    <n v="6"/>
    <n v="6"/>
    <x v="0"/>
    <x v="0"/>
    <x v="0"/>
    <x v="0"/>
  </r>
  <r>
    <x v="18"/>
    <d v="2026-07-06T00:00:00"/>
    <x v="1"/>
    <s v="P009"/>
    <x v="8"/>
    <n v="15"/>
    <n v="5"/>
    <n v="10"/>
    <n v="10"/>
    <n v="10"/>
    <x v="0"/>
    <x v="0"/>
    <x v="0"/>
    <x v="0"/>
  </r>
  <r>
    <x v="19"/>
    <d v="2026-07-07T00:00:00"/>
    <x v="1"/>
    <s v="P010"/>
    <x v="9"/>
    <n v="12"/>
    <n v="4"/>
    <n v="8"/>
    <n v="8"/>
    <n v="8"/>
    <x v="0"/>
    <x v="0"/>
    <x v="0"/>
    <x v="0"/>
  </r>
  <r>
    <x v="20"/>
    <d v="2026-07-07T00:00:00"/>
    <x v="2"/>
    <s v="P001"/>
    <x v="0"/>
    <n v="18"/>
    <n v="3"/>
    <n v="15"/>
    <n v="15"/>
    <n v="15"/>
    <x v="0"/>
    <x v="0"/>
    <x v="0"/>
    <x v="0"/>
  </r>
  <r>
    <x v="21"/>
    <d v="2026-07-08T00:00:00"/>
    <x v="2"/>
    <s v="P002"/>
    <x v="1"/>
    <n v="20"/>
    <n v="5"/>
    <n v="15"/>
    <n v="15"/>
    <n v="15"/>
    <x v="0"/>
    <x v="0"/>
    <x v="0"/>
    <x v="0"/>
  </r>
  <r>
    <x v="22"/>
    <d v="2026-07-08T00:00:00"/>
    <x v="2"/>
    <s v="P003"/>
    <x v="2"/>
    <n v="8"/>
    <n v="3"/>
    <n v="5"/>
    <n v="5"/>
    <n v="5"/>
    <x v="0"/>
    <x v="0"/>
    <x v="0"/>
    <x v="0"/>
  </r>
  <r>
    <x v="23"/>
    <d v="2026-07-08T00:00:00"/>
    <x v="2"/>
    <s v="P004"/>
    <x v="3"/>
    <n v="18"/>
    <n v="4"/>
    <n v="14"/>
    <n v="16"/>
    <n v="14"/>
    <x v="0"/>
    <x v="0"/>
    <x v="0"/>
    <x v="1"/>
  </r>
  <r>
    <x v="24"/>
    <d v="2026-07-09T00:00:00"/>
    <x v="2"/>
    <s v="P005"/>
    <x v="4"/>
    <n v="6"/>
    <n v="2"/>
    <n v="4"/>
    <n v="6"/>
    <n v="0"/>
    <x v="1"/>
    <x v="1"/>
    <x v="1"/>
    <x v="1"/>
  </r>
  <r>
    <x v="25"/>
    <d v="2026-07-09T00:00:00"/>
    <x v="2"/>
    <s v="P006"/>
    <x v="5"/>
    <n v="20"/>
    <n v="4"/>
    <n v="16"/>
    <n v="16"/>
    <n v="16"/>
    <x v="0"/>
    <x v="0"/>
    <x v="0"/>
    <x v="0"/>
  </r>
  <r>
    <x v="26"/>
    <d v="2026-07-09T00:00:00"/>
    <x v="2"/>
    <s v="P007"/>
    <x v="6"/>
    <n v="10"/>
    <n v="3"/>
    <n v="7"/>
    <n v="7"/>
    <n v="7"/>
    <x v="0"/>
    <x v="0"/>
    <x v="0"/>
    <x v="0"/>
  </r>
  <r>
    <x v="27"/>
    <d v="2026-07-10T00:00:00"/>
    <x v="2"/>
    <s v="P008"/>
    <x v="7"/>
    <n v="7"/>
    <n v="2"/>
    <n v="5"/>
    <n v="7"/>
    <n v="0"/>
    <x v="1"/>
    <x v="1"/>
    <x v="1"/>
    <x v="1"/>
  </r>
  <r>
    <x v="28"/>
    <d v="2026-07-10T00:00:00"/>
    <x v="2"/>
    <s v="P009"/>
    <x v="8"/>
    <n v="16"/>
    <n v="5"/>
    <n v="11"/>
    <n v="11"/>
    <n v="11"/>
    <x v="0"/>
    <x v="0"/>
    <x v="0"/>
    <x v="0"/>
  </r>
  <r>
    <x v="29"/>
    <d v="2026-07-10T00:00:00"/>
    <x v="2"/>
    <s v="P010"/>
    <x v="9"/>
    <n v="10"/>
    <n v="3"/>
    <n v="7"/>
    <n v="7"/>
    <n v="7"/>
    <x v="0"/>
    <x v="0"/>
    <x v="0"/>
    <x v="0"/>
  </r>
  <r>
    <x v="30"/>
    <d v="2026-07-11T00:00:00"/>
    <x v="3"/>
    <s v="P001"/>
    <x v="0"/>
    <n v="14"/>
    <n v="3"/>
    <n v="11"/>
    <n v="11"/>
    <n v="11"/>
    <x v="0"/>
    <x v="0"/>
    <x v="0"/>
    <x v="0"/>
  </r>
  <r>
    <x v="31"/>
    <d v="2026-07-11T00:00:00"/>
    <x v="3"/>
    <s v="P002"/>
    <x v="1"/>
    <n v="12"/>
    <n v="4"/>
    <n v="8"/>
    <n v="8"/>
    <n v="8"/>
    <x v="0"/>
    <x v="0"/>
    <x v="0"/>
    <x v="0"/>
  </r>
  <r>
    <x v="32"/>
    <d v="2026-07-12T00:00:00"/>
    <x v="3"/>
    <s v="P003"/>
    <x v="2"/>
    <n v="9"/>
    <n v="4"/>
    <n v="5"/>
    <n v="5"/>
    <n v="5"/>
    <x v="0"/>
    <x v="0"/>
    <x v="0"/>
    <x v="0"/>
  </r>
  <r>
    <x v="33"/>
    <d v="2026-07-12T00:00:00"/>
    <x v="3"/>
    <s v="P004"/>
    <x v="3"/>
    <n v="22"/>
    <n v="6"/>
    <n v="16"/>
    <n v="16"/>
    <n v="16"/>
    <x v="0"/>
    <x v="0"/>
    <x v="0"/>
    <x v="0"/>
  </r>
  <r>
    <x v="34"/>
    <d v="2026-07-12T00:00:00"/>
    <x v="3"/>
    <s v="P005"/>
    <x v="4"/>
    <n v="5"/>
    <n v="2"/>
    <n v="3"/>
    <n v="5"/>
    <n v="0"/>
    <x v="1"/>
    <x v="1"/>
    <x v="1"/>
    <x v="1"/>
  </r>
  <r>
    <x v="35"/>
    <d v="2026-07-13T00:00:00"/>
    <x v="3"/>
    <s v="P006"/>
    <x v="5"/>
    <n v="28"/>
    <n v="6"/>
    <n v="22"/>
    <n v="22"/>
    <n v="22"/>
    <x v="0"/>
    <x v="0"/>
    <x v="0"/>
    <x v="0"/>
  </r>
  <r>
    <x v="36"/>
    <d v="2026-07-13T00:00:00"/>
    <x v="3"/>
    <s v="P007"/>
    <x v="6"/>
    <n v="11"/>
    <n v="4"/>
    <n v="7"/>
    <n v="7"/>
    <n v="7"/>
    <x v="0"/>
    <x v="0"/>
    <x v="0"/>
    <x v="0"/>
  </r>
  <r>
    <x v="37"/>
    <d v="2026-07-13T00:00:00"/>
    <x v="3"/>
    <s v="P008"/>
    <x v="7"/>
    <n v="8"/>
    <n v="3"/>
    <n v="5"/>
    <n v="5"/>
    <n v="5"/>
    <x v="0"/>
    <x v="0"/>
    <x v="0"/>
    <x v="0"/>
  </r>
  <r>
    <x v="38"/>
    <d v="2026-07-14T00:00:00"/>
    <x v="3"/>
    <s v="P009"/>
    <x v="8"/>
    <n v="14"/>
    <n v="4"/>
    <n v="10"/>
    <n v="10"/>
    <n v="10"/>
    <x v="0"/>
    <x v="0"/>
    <x v="0"/>
    <x v="0"/>
  </r>
  <r>
    <x v="39"/>
    <d v="2026-07-14T00:00:00"/>
    <x v="3"/>
    <s v="P010"/>
    <x v="9"/>
    <n v="13"/>
    <n v="3"/>
    <n v="10"/>
    <n v="10"/>
    <n v="10"/>
    <x v="0"/>
    <x v="0"/>
    <x v="0"/>
    <x v="0"/>
  </r>
  <r>
    <x v="40"/>
    <d v="2026-07-15T00:00:00"/>
    <x v="4"/>
    <s v="P001"/>
    <x v="0"/>
    <n v="17"/>
    <n v="5"/>
    <n v="12"/>
    <n v="12"/>
    <n v="12"/>
    <x v="0"/>
    <x v="0"/>
    <x v="0"/>
    <x v="0"/>
  </r>
  <r>
    <x v="41"/>
    <d v="2026-07-15T00:00:00"/>
    <x v="4"/>
    <s v="P002"/>
    <x v="1"/>
    <n v="14"/>
    <n v="4"/>
    <n v="10"/>
    <n v="10"/>
    <n v="10"/>
    <x v="0"/>
    <x v="0"/>
    <x v="0"/>
    <x v="0"/>
  </r>
  <r>
    <x v="42"/>
    <d v="2026-07-16T00:00:00"/>
    <x v="4"/>
    <s v="P003"/>
    <x v="2"/>
    <n v="11"/>
    <n v="3"/>
    <n v="8"/>
    <n v="8"/>
    <n v="8"/>
    <x v="0"/>
    <x v="0"/>
    <x v="0"/>
    <x v="0"/>
  </r>
  <r>
    <x v="43"/>
    <d v="2026-07-16T00:00:00"/>
    <x v="4"/>
    <s v="P004"/>
    <x v="3"/>
    <n v="19"/>
    <n v="4"/>
    <n v="15"/>
    <n v="15"/>
    <n v="15"/>
    <x v="0"/>
    <x v="0"/>
    <x v="0"/>
    <x v="0"/>
  </r>
  <r>
    <x v="44"/>
    <d v="2026-07-16T00:00:00"/>
    <x v="4"/>
    <s v="P005"/>
    <x v="4"/>
    <n v="7"/>
    <n v="3"/>
    <n v="4"/>
    <n v="4"/>
    <n v="4"/>
    <x v="0"/>
    <x v="0"/>
    <x v="0"/>
    <x v="0"/>
  </r>
  <r>
    <x v="45"/>
    <d v="2026-07-17T00:00:00"/>
    <x v="4"/>
    <s v="P006"/>
    <x v="5"/>
    <n v="26"/>
    <n v="5"/>
    <n v="21"/>
    <n v="21"/>
    <n v="21"/>
    <x v="0"/>
    <x v="0"/>
    <x v="0"/>
    <x v="0"/>
  </r>
  <r>
    <x v="46"/>
    <d v="2026-07-17T00:00:00"/>
    <x v="4"/>
    <s v="P007"/>
    <x v="6"/>
    <n v="9"/>
    <n v="3"/>
    <n v="6"/>
    <n v="8"/>
    <n v="6"/>
    <x v="0"/>
    <x v="0"/>
    <x v="0"/>
    <x v="1"/>
  </r>
  <r>
    <x v="47"/>
    <d v="2026-07-18T00:00:00"/>
    <x v="4"/>
    <s v="P008"/>
    <x v="7"/>
    <n v="6"/>
    <n v="3"/>
    <n v="3"/>
    <n v="3"/>
    <n v="3"/>
    <x v="0"/>
    <x v="0"/>
    <x v="0"/>
    <x v="0"/>
  </r>
  <r>
    <x v="48"/>
    <d v="2026-07-18T00:00:00"/>
    <x v="4"/>
    <s v="P009"/>
    <x v="8"/>
    <n v="13"/>
    <n v="5"/>
    <n v="8"/>
    <n v="8"/>
    <n v="8"/>
    <x v="0"/>
    <x v="0"/>
    <x v="0"/>
    <x v="0"/>
  </r>
  <r>
    <x v="49"/>
    <d v="2026-07-18T00:00:00"/>
    <x v="4"/>
    <s v="P010"/>
    <x v="9"/>
    <n v="11"/>
    <n v="4"/>
    <n v="7"/>
    <n v="7"/>
    <n v="7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7-01T00:00:00"/>
    <x v="0"/>
    <s v="P001"/>
    <s v="Laptop Pro 14"/>
    <n v="20"/>
    <n v="2"/>
    <n v="18"/>
    <n v="18"/>
    <n v="18"/>
    <s v="Completed"/>
    <s v="None"/>
    <s v="Available"/>
    <s v="No"/>
    <n v="0"/>
  </r>
  <r>
    <n v="1002"/>
    <d v="2026-07-01T00:00:00"/>
    <x v="0"/>
    <s v="P002"/>
    <s v="Wireless Headphones"/>
    <n v="15"/>
    <n v="3"/>
    <n v="12"/>
    <n v="12"/>
    <n v="12"/>
    <s v="Completed"/>
    <s v="None"/>
    <s v="Available"/>
    <s v="No"/>
    <n v="0"/>
  </r>
  <r>
    <n v="1003"/>
    <d v="2026-07-01T00:00:00"/>
    <x v="0"/>
    <s v="P003"/>
    <s v="Mechanical Keyboard"/>
    <n v="10"/>
    <n v="2"/>
    <n v="8"/>
    <n v="8"/>
    <n v="8"/>
    <s v="Completed"/>
    <s v="None"/>
    <s v="Available"/>
    <s v="No"/>
    <n v="0"/>
  </r>
  <r>
    <n v="1004"/>
    <d v="2026-07-01T00:00:00"/>
    <x v="0"/>
    <s v="P004"/>
    <s v="USB-C Hub"/>
    <n v="25"/>
    <n v="4"/>
    <n v="21"/>
    <n v="21"/>
    <n v="21"/>
    <s v="Completed"/>
    <s v="None"/>
    <s v="Available"/>
    <s v="No"/>
    <n v="0"/>
  </r>
  <r>
    <n v="1005"/>
    <d v="2026-07-02T00:00:00"/>
    <x v="0"/>
    <s v="P005"/>
    <s v="4K Monitor"/>
    <n v="8"/>
    <n v="2"/>
    <n v="6"/>
    <n v="6"/>
    <n v="6"/>
    <s v="Cancelled"/>
    <s v="Out of stock"/>
    <s v="Out of Stock"/>
    <s v="yes"/>
    <n v="0"/>
  </r>
  <r>
    <n v="1006"/>
    <d v="2026-07-02T00:00:00"/>
    <x v="0"/>
    <s v="P006"/>
    <s v="Wireless Mouse"/>
    <n v="30"/>
    <n v="5"/>
    <n v="25"/>
    <n v="25"/>
    <n v="25"/>
    <s v="Completed"/>
    <s v="None"/>
    <s v="Available"/>
    <s v="No"/>
    <n v="0"/>
  </r>
  <r>
    <n v="1007"/>
    <d v="2026-07-02T00:00:00"/>
    <x v="0"/>
    <s v="P007"/>
    <s v="Smartphone X"/>
    <n v="12"/>
    <n v="3"/>
    <n v="9"/>
    <n v="9"/>
    <n v="9"/>
    <s v="Completed"/>
    <s v="None"/>
    <s v="Available"/>
    <s v="No"/>
    <n v="0"/>
  </r>
  <r>
    <n v="1008"/>
    <d v="2026-07-03T00:00:00"/>
    <x v="0"/>
    <s v="P008"/>
    <s v="Tablet Air"/>
    <n v="9"/>
    <n v="2"/>
    <n v="7"/>
    <n v="7"/>
    <n v="7"/>
    <s v="Completed"/>
    <s v="None"/>
    <s v="Available"/>
    <s v="No"/>
    <n v="0"/>
  </r>
  <r>
    <n v="1009"/>
    <d v="2026-07-03T00:00:00"/>
    <x v="0"/>
    <s v="P009"/>
    <s v="Power Bank"/>
    <n v="18"/>
    <n v="4"/>
    <n v="14"/>
    <n v="14"/>
    <n v="14"/>
    <s v="Completed"/>
    <s v="None"/>
    <s v="Available"/>
    <s v="No"/>
    <n v="0"/>
  </r>
  <r>
    <n v="1010"/>
    <d v="2026-07-03T00:00:00"/>
    <x v="0"/>
    <s v="P010"/>
    <s v="Webcam HD"/>
    <n v="14"/>
    <n v="3"/>
    <n v="11"/>
    <n v="11"/>
    <n v="11"/>
    <s v="Completed"/>
    <s v="None"/>
    <s v="Available"/>
    <s v="No"/>
    <n v="0"/>
  </r>
  <r>
    <n v="1011"/>
    <d v="2026-07-04T00:00:00"/>
    <x v="1"/>
    <s v="P001"/>
    <s v="Laptop Pro 14"/>
    <n v="16"/>
    <n v="4"/>
    <n v="12"/>
    <n v="12"/>
    <n v="12"/>
    <s v="Completed"/>
    <s v="None"/>
    <s v="Available"/>
    <s v="No"/>
    <n v="0"/>
  </r>
  <r>
    <n v="1012"/>
    <d v="2026-07-04T00:00:00"/>
    <x v="1"/>
    <s v="P002"/>
    <s v="Wireless Headphones"/>
    <n v="10"/>
    <n v="2"/>
    <n v="8"/>
    <n v="8"/>
    <n v="8"/>
    <s v="Cancelled"/>
    <s v="Out of stock"/>
    <s v="Out of Stock"/>
    <s v="yes"/>
    <n v="0"/>
  </r>
  <r>
    <n v="1013"/>
    <d v="2026-07-04T00:00:00"/>
    <x v="1"/>
    <s v="P003"/>
    <s v="Mechanical Keyboard"/>
    <n v="12"/>
    <n v="3"/>
    <n v="9"/>
    <n v="9"/>
    <n v="9"/>
    <s v="Completed"/>
    <s v="None"/>
    <s v="Available"/>
    <s v="No"/>
    <n v="0"/>
  </r>
  <r>
    <n v="1014"/>
    <d v="2026-07-05T00:00:00"/>
    <x v="1"/>
    <s v="P004"/>
    <s v="USB-C Hub"/>
    <n v="20"/>
    <n v="5"/>
    <n v="15"/>
    <n v="15"/>
    <n v="15"/>
    <s v="Completed"/>
    <s v="None"/>
    <s v="Available"/>
    <s v="No"/>
    <n v="0"/>
  </r>
  <r>
    <n v="1015"/>
    <d v="2026-07-05T00:00:00"/>
    <x v="1"/>
    <s v="P005"/>
    <s v="4K Monitor"/>
    <n v="7"/>
    <n v="3"/>
    <n v="4"/>
    <n v="4"/>
    <n v="4"/>
    <s v="Completed"/>
    <s v="None"/>
    <s v="Available"/>
    <s v="No"/>
    <n v="0"/>
  </r>
  <r>
    <n v="1016"/>
    <d v="2026-07-05T00:00:00"/>
    <x v="1"/>
    <s v="P006"/>
    <s v="Wireless Mouse"/>
    <n v="25"/>
    <n v="5"/>
    <n v="20"/>
    <n v="20"/>
    <n v="20"/>
    <s v="Completed"/>
    <s v="None"/>
    <s v="Available"/>
    <s v="No"/>
    <n v="0"/>
  </r>
  <r>
    <n v="1017"/>
    <d v="2026-07-06T00:00:00"/>
    <x v="1"/>
    <s v="P007"/>
    <s v="Smartphone X"/>
    <n v="8"/>
    <n v="3"/>
    <n v="5"/>
    <n v="5"/>
    <n v="5"/>
    <s v="Completed"/>
    <s v="None"/>
    <s v="Available"/>
    <s v="No"/>
    <n v="0"/>
  </r>
  <r>
    <n v="1018"/>
    <d v="2026-07-06T00:00:00"/>
    <x v="1"/>
    <s v="P008"/>
    <s v="Tablet Air"/>
    <n v="10"/>
    <n v="4"/>
    <n v="6"/>
    <n v="6"/>
    <n v="6"/>
    <s v="Completed"/>
    <s v="None"/>
    <s v="Available"/>
    <s v="No"/>
    <n v="0"/>
  </r>
  <r>
    <n v="1019"/>
    <d v="2026-07-06T00:00:00"/>
    <x v="1"/>
    <s v="P009"/>
    <s v="Power Bank"/>
    <n v="15"/>
    <n v="5"/>
    <n v="10"/>
    <n v="10"/>
    <n v="10"/>
    <s v="Completed"/>
    <s v="None"/>
    <s v="Available"/>
    <s v="No"/>
    <n v="0"/>
  </r>
  <r>
    <n v="1020"/>
    <d v="2026-07-07T00:00:00"/>
    <x v="1"/>
    <s v="P010"/>
    <s v="Webcam HD"/>
    <n v="12"/>
    <n v="4"/>
    <n v="8"/>
    <n v="8"/>
    <n v="8"/>
    <s v="Completed"/>
    <s v="None"/>
    <s v="Available"/>
    <s v="No"/>
    <n v="0"/>
  </r>
  <r>
    <n v="1021"/>
    <d v="2026-07-07T00:00:00"/>
    <x v="2"/>
    <s v="P001"/>
    <s v="Laptop Pro 14"/>
    <n v="18"/>
    <n v="3"/>
    <n v="15"/>
    <n v="15"/>
    <n v="15"/>
    <s v="Completed"/>
    <s v="None"/>
    <s v="Available"/>
    <s v="No"/>
    <n v="0"/>
  </r>
  <r>
    <n v="1022"/>
    <d v="2026-07-08T00:00:00"/>
    <x v="2"/>
    <s v="P002"/>
    <s v="Wireless Headphones"/>
    <n v="20"/>
    <n v="5"/>
    <n v="15"/>
    <n v="15"/>
    <n v="15"/>
    <s v="Completed"/>
    <s v="None"/>
    <s v="Available"/>
    <s v="No"/>
    <n v="0"/>
  </r>
  <r>
    <n v="1023"/>
    <d v="2026-07-08T00:00:00"/>
    <x v="2"/>
    <s v="P003"/>
    <s v="Mechanical Keyboard"/>
    <n v="8"/>
    <n v="3"/>
    <n v="5"/>
    <n v="5"/>
    <n v="5"/>
    <s v="Completed"/>
    <s v="None"/>
    <s v="Available"/>
    <s v="No"/>
    <n v="0"/>
  </r>
  <r>
    <n v="1024"/>
    <d v="2026-07-08T00:00:00"/>
    <x v="2"/>
    <s v="P004"/>
    <s v="USB-C Hub"/>
    <n v="18"/>
    <n v="4"/>
    <n v="14"/>
    <n v="16"/>
    <n v="14"/>
    <s v="Completed"/>
    <s v="None"/>
    <s v="Available"/>
    <s v="yes"/>
    <n v="2"/>
  </r>
  <r>
    <n v="1025"/>
    <d v="2026-07-09T00:00:00"/>
    <x v="2"/>
    <s v="P005"/>
    <s v="4K Monitor"/>
    <n v="6"/>
    <n v="2"/>
    <n v="4"/>
    <n v="6"/>
    <n v="0"/>
    <s v="Cancelled"/>
    <s v="Out of stock"/>
    <s v="Out of Stock"/>
    <s v="yes"/>
    <n v="6"/>
  </r>
  <r>
    <n v="1026"/>
    <d v="2026-07-09T00:00:00"/>
    <x v="2"/>
    <s v="P006"/>
    <s v="Wireless Mouse"/>
    <n v="20"/>
    <n v="4"/>
    <n v="16"/>
    <n v="16"/>
    <n v="16"/>
    <s v="Completed"/>
    <s v="None"/>
    <s v="Available"/>
    <s v="No"/>
    <n v="0"/>
  </r>
  <r>
    <n v="1027"/>
    <d v="2026-07-09T00:00:00"/>
    <x v="2"/>
    <s v="P007"/>
    <s v="Smartphone X"/>
    <n v="10"/>
    <n v="3"/>
    <n v="7"/>
    <n v="7"/>
    <n v="7"/>
    <s v="Completed"/>
    <s v="None"/>
    <s v="Available"/>
    <s v="No"/>
    <n v="0"/>
  </r>
  <r>
    <n v="1028"/>
    <d v="2026-07-10T00:00:00"/>
    <x v="2"/>
    <s v="P008"/>
    <s v="Tablet Air"/>
    <n v="7"/>
    <n v="2"/>
    <n v="5"/>
    <n v="7"/>
    <n v="0"/>
    <s v="Cancelled"/>
    <s v="Out of stock"/>
    <s v="Out of Stock"/>
    <s v="yes"/>
    <n v="7"/>
  </r>
  <r>
    <n v="1029"/>
    <d v="2026-07-10T00:00:00"/>
    <x v="2"/>
    <s v="P009"/>
    <s v="Power Bank"/>
    <n v="16"/>
    <n v="5"/>
    <n v="11"/>
    <n v="11"/>
    <n v="11"/>
    <s v="Completed"/>
    <s v="None"/>
    <s v="Available"/>
    <s v="No"/>
    <n v="0"/>
  </r>
  <r>
    <n v="1030"/>
    <d v="2026-07-10T00:00:00"/>
    <x v="2"/>
    <s v="P010"/>
    <s v="Webcam HD"/>
    <n v="10"/>
    <n v="3"/>
    <n v="7"/>
    <n v="7"/>
    <n v="7"/>
    <s v="Completed"/>
    <s v="None"/>
    <s v="Available"/>
    <s v="No"/>
    <n v="0"/>
  </r>
  <r>
    <n v="1031"/>
    <d v="2026-07-11T00:00:00"/>
    <x v="3"/>
    <s v="P001"/>
    <s v="Laptop Pro 14"/>
    <n v="14"/>
    <n v="3"/>
    <n v="11"/>
    <n v="11"/>
    <n v="11"/>
    <s v="Completed"/>
    <s v="None"/>
    <s v="Available"/>
    <s v="No"/>
    <n v="0"/>
  </r>
  <r>
    <n v="1032"/>
    <d v="2026-07-11T00:00:00"/>
    <x v="3"/>
    <s v="P002"/>
    <s v="Wireless Headphones"/>
    <n v="12"/>
    <n v="4"/>
    <n v="8"/>
    <n v="8"/>
    <n v="8"/>
    <s v="Completed"/>
    <s v="None"/>
    <s v="Available"/>
    <s v="No"/>
    <n v="0"/>
  </r>
  <r>
    <n v="1033"/>
    <d v="2026-07-12T00:00:00"/>
    <x v="3"/>
    <s v="P003"/>
    <s v="Mechanical Keyboard"/>
    <n v="9"/>
    <n v="4"/>
    <n v="5"/>
    <n v="5"/>
    <n v="5"/>
    <s v="Completed"/>
    <s v="None"/>
    <s v="Available"/>
    <s v="No"/>
    <n v="0"/>
  </r>
  <r>
    <n v="1034"/>
    <d v="2026-07-12T00:00:00"/>
    <x v="3"/>
    <s v="P004"/>
    <s v="USB-C Hub"/>
    <n v="22"/>
    <n v="6"/>
    <n v="16"/>
    <n v="16"/>
    <n v="16"/>
    <s v="Completed"/>
    <s v="None"/>
    <s v="Available"/>
    <s v="No"/>
    <n v="0"/>
  </r>
  <r>
    <n v="1035"/>
    <d v="2026-07-12T00:00:00"/>
    <x v="3"/>
    <s v="P005"/>
    <s v="4K Monitor"/>
    <n v="5"/>
    <n v="2"/>
    <n v="3"/>
    <n v="5"/>
    <n v="0"/>
    <s v="Cancelled"/>
    <s v="Out of stock"/>
    <s v="Out of Stock"/>
    <s v="yes"/>
    <n v="5"/>
  </r>
  <r>
    <n v="1036"/>
    <d v="2026-07-13T00:00:00"/>
    <x v="3"/>
    <s v="P006"/>
    <s v="Wireless Mouse"/>
    <n v="28"/>
    <n v="6"/>
    <n v="22"/>
    <n v="22"/>
    <n v="22"/>
    <s v="Completed"/>
    <s v="None"/>
    <s v="Available"/>
    <s v="No"/>
    <n v="0"/>
  </r>
  <r>
    <n v="1037"/>
    <d v="2026-07-13T00:00:00"/>
    <x v="3"/>
    <s v="P007"/>
    <s v="Smartphone X"/>
    <n v="11"/>
    <n v="4"/>
    <n v="7"/>
    <n v="7"/>
    <n v="7"/>
    <s v="Completed"/>
    <s v="None"/>
    <s v="Available"/>
    <s v="No"/>
    <n v="0"/>
  </r>
  <r>
    <n v="1038"/>
    <d v="2026-07-13T00:00:00"/>
    <x v="3"/>
    <s v="P008"/>
    <s v="Tablet Air"/>
    <n v="8"/>
    <n v="3"/>
    <n v="5"/>
    <n v="5"/>
    <n v="5"/>
    <s v="Completed"/>
    <s v="None"/>
    <s v="Available"/>
    <s v="No"/>
    <n v="0"/>
  </r>
  <r>
    <n v="1039"/>
    <d v="2026-07-14T00:00:00"/>
    <x v="3"/>
    <s v="P009"/>
    <s v="Power Bank"/>
    <n v="14"/>
    <n v="4"/>
    <n v="10"/>
    <n v="10"/>
    <n v="10"/>
    <s v="Completed"/>
    <s v="None"/>
    <s v="Available"/>
    <s v="No"/>
    <n v="0"/>
  </r>
  <r>
    <n v="1040"/>
    <d v="2026-07-14T00:00:00"/>
    <x v="3"/>
    <s v="P010"/>
    <s v="Webcam HD"/>
    <n v="13"/>
    <n v="3"/>
    <n v="10"/>
    <n v="10"/>
    <n v="10"/>
    <s v="Completed"/>
    <s v="None"/>
    <s v="Available"/>
    <s v="No"/>
    <n v="0"/>
  </r>
  <r>
    <n v="1041"/>
    <d v="2026-07-15T00:00:00"/>
    <x v="4"/>
    <s v="P001"/>
    <s v="Laptop Pro 14"/>
    <n v="17"/>
    <n v="5"/>
    <n v="12"/>
    <n v="12"/>
    <n v="12"/>
    <s v="Completed"/>
    <s v="None"/>
    <s v="Available"/>
    <s v="No"/>
    <n v="0"/>
  </r>
  <r>
    <n v="1042"/>
    <d v="2026-07-15T00:00:00"/>
    <x v="4"/>
    <s v="P002"/>
    <s v="Wireless Headphones"/>
    <n v="14"/>
    <n v="4"/>
    <n v="10"/>
    <n v="10"/>
    <n v="10"/>
    <s v="Completed"/>
    <s v="None"/>
    <s v="Available"/>
    <s v="No"/>
    <n v="0"/>
  </r>
  <r>
    <n v="1043"/>
    <d v="2026-07-16T00:00:00"/>
    <x v="4"/>
    <s v="P003"/>
    <s v="Mechanical Keyboard"/>
    <n v="11"/>
    <n v="3"/>
    <n v="8"/>
    <n v="8"/>
    <n v="8"/>
    <s v="Completed"/>
    <s v="None"/>
    <s v="Available"/>
    <s v="No"/>
    <n v="0"/>
  </r>
  <r>
    <n v="1044"/>
    <d v="2026-07-16T00:00:00"/>
    <x v="4"/>
    <s v="P004"/>
    <s v="USB-C Hub"/>
    <n v="19"/>
    <n v="4"/>
    <n v="15"/>
    <n v="15"/>
    <n v="15"/>
    <s v="Completed"/>
    <s v="None"/>
    <s v="Available"/>
    <s v="No"/>
    <n v="0"/>
  </r>
  <r>
    <n v="1045"/>
    <d v="2026-07-16T00:00:00"/>
    <x v="4"/>
    <s v="P005"/>
    <s v="4K Monitor"/>
    <n v="7"/>
    <n v="3"/>
    <n v="4"/>
    <n v="4"/>
    <n v="4"/>
    <s v="Completed"/>
    <s v="None"/>
    <s v="Available"/>
    <s v="No"/>
    <n v="0"/>
  </r>
  <r>
    <n v="1046"/>
    <d v="2026-07-17T00:00:00"/>
    <x v="4"/>
    <s v="P006"/>
    <s v="Wireless Mouse"/>
    <n v="26"/>
    <n v="5"/>
    <n v="21"/>
    <n v="21"/>
    <n v="21"/>
    <s v="Completed"/>
    <s v="None"/>
    <s v="Available"/>
    <s v="No"/>
    <n v="0"/>
  </r>
  <r>
    <n v="1047"/>
    <d v="2026-07-17T00:00:00"/>
    <x v="4"/>
    <s v="P007"/>
    <s v="Smartphone X"/>
    <n v="9"/>
    <n v="3"/>
    <n v="6"/>
    <n v="8"/>
    <n v="6"/>
    <s v="Completed"/>
    <s v="None"/>
    <s v="Available"/>
    <s v="yes"/>
    <n v="2"/>
  </r>
  <r>
    <n v="1048"/>
    <d v="2026-07-18T00:00:00"/>
    <x v="4"/>
    <s v="P008"/>
    <s v="Tablet Air"/>
    <n v="6"/>
    <n v="3"/>
    <n v="3"/>
    <n v="3"/>
    <n v="3"/>
    <s v="Completed"/>
    <s v="None"/>
    <s v="Available"/>
    <s v="No"/>
    <n v="0"/>
  </r>
  <r>
    <n v="1049"/>
    <d v="2026-07-18T00:00:00"/>
    <x v="4"/>
    <s v="P009"/>
    <s v="Power Bank"/>
    <n v="13"/>
    <n v="5"/>
    <n v="8"/>
    <n v="8"/>
    <n v="8"/>
    <s v="Completed"/>
    <s v="None"/>
    <s v="Available"/>
    <s v="No"/>
    <n v="0"/>
  </r>
  <r>
    <n v="1050"/>
    <d v="2026-07-18T00:00:00"/>
    <x v="4"/>
    <s v="P010"/>
    <s v="Webcam HD"/>
    <n v="11"/>
    <n v="4"/>
    <n v="7"/>
    <n v="7"/>
    <n v="7"/>
    <s v="Completed"/>
    <s v="None"/>
    <s v="Available"/>
    <s v="N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D6282-C550-4405-9227-B8A8F8028AAA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9:B65" firstHeaderRow="1" firstDataRow="1" firstDataCol="1"/>
  <pivotFields count="15">
    <pivotField compact="0" outline="0" showAll="0"/>
    <pivotField compact="0" numFmtId="164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iff val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7785C-910A-4974-A753-E434DF551DF1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40:B43" firstHeaderRow="1" firstDataRow="1" firstDataCol="1"/>
  <pivotFields count="14">
    <pivotField dataField="1"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numFmtId="164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3"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75BB6-2D33-4719-956C-B188F3CE149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7:B33" firstHeaderRow="1" firstDataRow="1" firstDataCol="1"/>
  <pivotFields count="14">
    <pivotField compact="0" outline="0" showAll="0"/>
    <pivotField compact="0" numFmtId="164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h="1"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ata_Error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112A1-60BA-4F3D-9B12-D7393C5D09E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7:B11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axis="axisRow" dataField="1" compact="0" outline="0" showAll="0" sortType="ascending">
      <items count="11">
        <item x="4"/>
        <item x="0"/>
        <item x="2"/>
        <item x="8"/>
        <item x="6"/>
        <item x="7"/>
        <item x="3"/>
        <item x="9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h="1" x="0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4"/>
  </rowFields>
  <rowItems count="4">
    <i>
      <x/>
    </i>
    <i>
      <x v="5"/>
    </i>
    <i>
      <x v="8"/>
    </i>
    <i t="grand">
      <x/>
    </i>
  </rowItems>
  <colItems count="1">
    <i/>
  </colItems>
  <dataFields count="1">
    <dataField name="Count of Product_Name" fld="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vailability_Status" xr10:uid="{5FA4CAE1-1296-4A98-8B2B-81C2AA31FEA0}" sourceName="Availability_Status">
  <pivotTables>
    <pivotTable tabId="3" name="PivotTable1"/>
  </pivotTables>
  <data>
    <tabular pivotCacheId="1460797573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a_Error" xr10:uid="{80C6FC7B-30A6-491F-B791-F7E92699C0D3}" sourceName="Data_Error">
  <pivotTables>
    <pivotTable tabId="3" name="PivotTable2"/>
  </pivotTables>
  <data>
    <tabular pivotCacheId="1460797573">
      <items count="2">
        <i x="0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Status1" xr10:uid="{3FEC5CD4-097B-4FBA-BCE3-D1EDD3F228E7}" sourceName="Order_Status">
  <pivotTables>
    <pivotTable tabId="3" name="PivotTable4"/>
  </pivotTables>
  <data>
    <tabular pivotCacheId="1460797573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vailability_Status" xr10:uid="{1795D8B1-F17A-42F9-AF81-040A79486226}" cache="Slicer_Availability_Status" caption="Availability_Status" rowHeight="228600"/>
  <slicer name="Data_Error 1" xr10:uid="{FF6D475C-D73F-4379-8F95-AFCD3B87838A}" cache="Slicer_Data_Error" caption="Data_Error" rowHeight="228600"/>
  <slicer name="Order_Status" xr10:uid="{E3BE721E-FB57-41F9-BB31-2C4E58F31815}" cache="Slicer_Order_Status1" caption="Order_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6F86E0-69F7-49A0-8E9B-218058E05BC3}" name="Table2" displayName="Table2" ref="A1:N51" totalsRowShown="0" headerRowDxfId="16" dataDxfId="15" headerRowBorderDxfId="13" tableBorderDxfId="14">
  <autoFilter ref="A1:N51" xr:uid="{4F6F86E0-69F7-49A0-8E9B-218058E05BC3}"/>
  <tableColumns count="14">
    <tableColumn id="1" xr3:uid="{D2558548-24D8-4479-BEEA-5A0E97C65B82}" name="Order_ID"/>
    <tableColumn id="2" xr3:uid="{3D63FBFE-E63D-442B-B17F-12599C1AF97A}" name="Order_Date" dataDxfId="12"/>
    <tableColumn id="3" xr3:uid="{BABB2B26-94C6-425B-8B22-CCC59B20F1A3}" name="Store_ID" dataDxfId="11"/>
    <tableColumn id="4" xr3:uid="{2CB74B7C-1363-4526-B4A5-2B3EEFA905E1}" name="Product_ID" dataDxfId="10"/>
    <tableColumn id="5" xr3:uid="{3FF31148-E958-49EE-ADAF-B262229D36C5}" name="Product_Name" dataDxfId="9"/>
    <tableColumn id="6" xr3:uid="{7D89D234-C9A8-4270-8248-F11C42C88085}" name="Stock_Before_Order" dataDxfId="8"/>
    <tableColumn id="7" xr3:uid="{A3CA63F0-1BAF-4025-BE23-BA01CF77DDE4}" name="Quantity_Ordered" dataDxfId="7"/>
    <tableColumn id="8" xr3:uid="{C1527266-E4B6-43A5-912F-51D008EF1E72}" name="Stock_After_Order" dataDxfId="6"/>
    <tableColumn id="9" xr3:uid="{9C1EA8A6-A8CA-4513-959B-8C0E0C2C1255}" name="System_Stock" dataDxfId="5"/>
    <tableColumn id="10" xr3:uid="{581B3D85-B4BF-4134-9D28-AF27168F54DE}" name="Actual_Stock" dataDxfId="4"/>
    <tableColumn id="11" xr3:uid="{2C33CFBD-90F4-4A83-A98E-BF125C5A97D1}" name="Order_Status" dataDxfId="3"/>
    <tableColumn id="12" xr3:uid="{E1738C61-A51D-4781-AF0D-7494C2DB44C9}" name="Cancellation_Reason" dataDxfId="2"/>
    <tableColumn id="13" xr3:uid="{289C9604-44DC-4DCC-AD99-6639D1143ECB}" name="Availability_Status" dataDxfId="1"/>
    <tableColumn id="14" xr3:uid="{CF48C4DC-985A-478E-BB80-FB9316D5D430}" name="Data_Err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3DEA-75B0-4C21-9B10-79F14C5A4612}">
  <dimension ref="A1:B65"/>
  <sheetViews>
    <sheetView tabSelected="1" workbookViewId="0">
      <selection activeCell="D58" sqref="D58"/>
    </sheetView>
  </sheetViews>
  <sheetFormatPr defaultRowHeight="15"/>
  <cols>
    <col min="1" max="1" width="39.140625" customWidth="1"/>
    <col min="2" max="2" width="16.5703125" customWidth="1"/>
    <col min="3" max="3" width="21.140625" bestFit="1" customWidth="1"/>
    <col min="4" max="4" width="11.7109375" bestFit="1" customWidth="1"/>
  </cols>
  <sheetData>
    <row r="1" spans="1:2">
      <c r="A1" s="11" t="s">
        <v>0</v>
      </c>
    </row>
    <row r="2" spans="1:2">
      <c r="A2" s="11"/>
    </row>
    <row r="3" spans="1:2">
      <c r="A3" s="11" t="s">
        <v>1</v>
      </c>
    </row>
    <row r="4" spans="1:2">
      <c r="A4">
        <f>COUNTA(Table2[Order_ID])</f>
        <v>50</v>
      </c>
    </row>
    <row r="7" spans="1:2">
      <c r="A7" s="5" t="s">
        <v>2</v>
      </c>
      <c r="B7" t="s">
        <v>3</v>
      </c>
    </row>
    <row r="8" spans="1:2">
      <c r="A8" t="s">
        <v>4</v>
      </c>
      <c r="B8" s="6">
        <v>3</v>
      </c>
    </row>
    <row r="9" spans="1:2">
      <c r="A9" t="s">
        <v>5</v>
      </c>
      <c r="B9" s="6">
        <v>1</v>
      </c>
    </row>
    <row r="10" spans="1:2">
      <c r="A10" t="s">
        <v>6</v>
      </c>
      <c r="B10" s="6">
        <v>1</v>
      </c>
    </row>
    <row r="11" spans="1:2">
      <c r="A11" t="s">
        <v>7</v>
      </c>
      <c r="B11" s="6">
        <v>5</v>
      </c>
    </row>
    <row r="23" spans="1:2">
      <c r="A23" s="11" t="s">
        <v>8</v>
      </c>
    </row>
    <row r="24" spans="1:2">
      <c r="A24">
        <f>COUNTIF(Table2[Data_Error],"yes")</f>
        <v>7</v>
      </c>
    </row>
    <row r="27" spans="1:2">
      <c r="A27" s="5" t="s">
        <v>9</v>
      </c>
      <c r="B27" t="s">
        <v>10</v>
      </c>
    </row>
    <row r="28" spans="1:2">
      <c r="A28" t="s">
        <v>11</v>
      </c>
      <c r="B28" s="6">
        <v>1</v>
      </c>
    </row>
    <row r="29" spans="1:2">
      <c r="A29" t="s">
        <v>12</v>
      </c>
      <c r="B29" s="6">
        <v>1</v>
      </c>
    </row>
    <row r="30" spans="1:2">
      <c r="A30" t="s">
        <v>13</v>
      </c>
      <c r="B30" s="6">
        <v>3</v>
      </c>
    </row>
    <row r="31" spans="1:2">
      <c r="A31" t="s">
        <v>14</v>
      </c>
      <c r="B31" s="6">
        <v>1</v>
      </c>
    </row>
    <row r="32" spans="1:2">
      <c r="A32" t="s">
        <v>15</v>
      </c>
      <c r="B32" s="6">
        <v>1</v>
      </c>
    </row>
    <row r="33" spans="1:2">
      <c r="A33" t="s">
        <v>7</v>
      </c>
      <c r="B33" s="6">
        <v>7</v>
      </c>
    </row>
    <row r="37" spans="1:2">
      <c r="A37" s="11" t="s">
        <v>16</v>
      </c>
    </row>
    <row r="38" spans="1:2">
      <c r="A38">
        <f>COUNTIF(Table2[Order_Status],"Cancelled")</f>
        <v>5</v>
      </c>
    </row>
    <row r="40" spans="1:2">
      <c r="A40" s="5" t="s">
        <v>9</v>
      </c>
      <c r="B40" t="s">
        <v>17</v>
      </c>
    </row>
    <row r="41" spans="1:2">
      <c r="A41" t="s">
        <v>13</v>
      </c>
      <c r="B41" s="6">
        <v>2</v>
      </c>
    </row>
    <row r="42" spans="1:2">
      <c r="A42" t="s">
        <v>14</v>
      </c>
      <c r="B42" s="6">
        <v>1</v>
      </c>
    </row>
    <row r="43" spans="1:2">
      <c r="A43" t="s">
        <v>7</v>
      </c>
      <c r="B43" s="6">
        <v>3</v>
      </c>
    </row>
    <row r="56" spans="1:2">
      <c r="A56" s="10" t="s">
        <v>18</v>
      </c>
    </row>
    <row r="57" spans="1:2">
      <c r="A57">
        <v>22</v>
      </c>
    </row>
    <row r="59" spans="1:2">
      <c r="A59" s="5" t="s">
        <v>9</v>
      </c>
      <c r="B59" t="s">
        <v>19</v>
      </c>
    </row>
    <row r="60" spans="1:2">
      <c r="A60" t="s">
        <v>11</v>
      </c>
      <c r="B60" s="6">
        <v>0</v>
      </c>
    </row>
    <row r="61" spans="1:2">
      <c r="A61" t="s">
        <v>12</v>
      </c>
      <c r="B61" s="6">
        <v>0</v>
      </c>
    </row>
    <row r="62" spans="1:2">
      <c r="A62" t="s">
        <v>13</v>
      </c>
      <c r="B62" s="6">
        <v>15</v>
      </c>
    </row>
    <row r="63" spans="1:2">
      <c r="A63" t="s">
        <v>14</v>
      </c>
      <c r="B63" s="6">
        <v>5</v>
      </c>
    </row>
    <row r="64" spans="1:2">
      <c r="A64" t="s">
        <v>15</v>
      </c>
      <c r="B64" s="6">
        <v>2</v>
      </c>
    </row>
    <row r="65" spans="1:2">
      <c r="A65" t="s">
        <v>7</v>
      </c>
      <c r="B65" s="6">
        <v>22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workbookViewId="0">
      <selection activeCell="Q10" sqref="Q10"/>
    </sheetView>
  </sheetViews>
  <sheetFormatPr defaultRowHeight="15"/>
  <cols>
    <col min="1" max="1" width="12.140625" customWidth="1"/>
    <col min="2" max="2" width="17" style="2" customWidth="1"/>
    <col min="3" max="3" width="12" style="3" customWidth="1"/>
    <col min="4" max="4" width="21.5703125" style="3" customWidth="1"/>
    <col min="5" max="5" width="22.140625" style="3" customWidth="1"/>
    <col min="6" max="6" width="21.85546875" style="3" customWidth="1"/>
    <col min="7" max="7" width="20" style="3" customWidth="1"/>
    <col min="8" max="8" width="12" style="3" customWidth="1"/>
    <col min="9" max="9" width="19.28515625" style="3" customWidth="1"/>
    <col min="10" max="10" width="15.42578125" style="4" customWidth="1"/>
    <col min="11" max="11" width="15.28515625" style="3" customWidth="1"/>
    <col min="12" max="12" width="22.28515625" style="3" customWidth="1"/>
    <col min="13" max="13" width="17.7109375" style="3" customWidth="1"/>
    <col min="14" max="14" width="13.140625" style="3" customWidth="1"/>
    <col min="16" max="16" width="21.140625" customWidth="1"/>
    <col min="17" max="17" width="11.7109375" bestFit="1" customWidth="1"/>
  </cols>
  <sheetData>
    <row r="1" spans="1:15">
      <c r="A1" s="7" t="s">
        <v>20</v>
      </c>
      <c r="B1" s="9" t="s">
        <v>21</v>
      </c>
      <c r="C1" s="7" t="s">
        <v>9</v>
      </c>
      <c r="D1" s="7" t="s">
        <v>22</v>
      </c>
      <c r="E1" s="7" t="s">
        <v>2</v>
      </c>
      <c r="F1" s="7" t="s">
        <v>23</v>
      </c>
      <c r="G1" s="7" t="s">
        <v>24</v>
      </c>
      <c r="H1" s="7" t="s">
        <v>25</v>
      </c>
      <c r="I1" s="7" t="s">
        <v>26</v>
      </c>
      <c r="J1" s="8" t="s">
        <v>27</v>
      </c>
      <c r="K1" s="7" t="s">
        <v>28</v>
      </c>
      <c r="L1" s="7" t="s">
        <v>29</v>
      </c>
      <c r="M1" s="7" t="s">
        <v>30</v>
      </c>
      <c r="N1" s="7" t="s">
        <v>8</v>
      </c>
      <c r="O1" t="s">
        <v>31</v>
      </c>
    </row>
    <row r="2" spans="1:15">
      <c r="A2">
        <v>1001</v>
      </c>
      <c r="B2" s="2">
        <v>46204</v>
      </c>
      <c r="C2" s="3" t="s">
        <v>11</v>
      </c>
      <c r="D2" s="3" t="s">
        <v>32</v>
      </c>
      <c r="E2" s="3" t="s">
        <v>33</v>
      </c>
      <c r="F2" s="3">
        <v>20</v>
      </c>
      <c r="G2" s="3">
        <v>2</v>
      </c>
      <c r="H2" s="3">
        <v>18</v>
      </c>
      <c r="I2" s="3">
        <v>18</v>
      </c>
      <c r="J2" s="4">
        <v>18</v>
      </c>
      <c r="K2" s="3" t="s">
        <v>34</v>
      </c>
      <c r="L2" s="3" t="s">
        <v>35</v>
      </c>
      <c r="M2" s="3" t="s">
        <v>36</v>
      </c>
      <c r="N2" s="3" t="s">
        <v>37</v>
      </c>
      <c r="O2" cm="1">
        <f t="array" ref="O2:O51">Table2[System_Stock]-Table2[Actual_Stock]</f>
        <v>0</v>
      </c>
    </row>
    <row r="3" spans="1:15">
      <c r="A3">
        <v>1002</v>
      </c>
      <c r="B3" s="2">
        <v>46204</v>
      </c>
      <c r="C3" s="3" t="s">
        <v>11</v>
      </c>
      <c r="D3" s="3" t="s">
        <v>38</v>
      </c>
      <c r="E3" s="3" t="s">
        <v>6</v>
      </c>
      <c r="F3" s="3">
        <v>15</v>
      </c>
      <c r="G3" s="3">
        <v>3</v>
      </c>
      <c r="H3" s="3">
        <v>12</v>
      </c>
      <c r="I3" s="3">
        <v>12</v>
      </c>
      <c r="J3" s="4">
        <v>12</v>
      </c>
      <c r="K3" s="3" t="s">
        <v>34</v>
      </c>
      <c r="L3" s="3" t="s">
        <v>35</v>
      </c>
      <c r="M3" s="3" t="s">
        <v>36</v>
      </c>
      <c r="N3" s="3" t="s">
        <v>37</v>
      </c>
      <c r="O3">
        <v>0</v>
      </c>
    </row>
    <row r="4" spans="1:15">
      <c r="A4">
        <v>1003</v>
      </c>
      <c r="B4" s="2">
        <v>46204</v>
      </c>
      <c r="C4" s="3" t="s">
        <v>11</v>
      </c>
      <c r="D4" s="3" t="s">
        <v>39</v>
      </c>
      <c r="E4" s="3" t="s">
        <v>40</v>
      </c>
      <c r="F4" s="3">
        <v>10</v>
      </c>
      <c r="G4" s="3">
        <v>2</v>
      </c>
      <c r="H4" s="3">
        <v>8</v>
      </c>
      <c r="I4" s="3">
        <v>8</v>
      </c>
      <c r="J4" s="4">
        <v>8</v>
      </c>
      <c r="K4" s="3" t="s">
        <v>34</v>
      </c>
      <c r="L4" s="3" t="s">
        <v>35</v>
      </c>
      <c r="M4" s="3" t="s">
        <v>36</v>
      </c>
      <c r="N4" s="3" t="s">
        <v>37</v>
      </c>
      <c r="O4">
        <v>0</v>
      </c>
    </row>
    <row r="5" spans="1:15">
      <c r="A5">
        <v>1004</v>
      </c>
      <c r="B5" s="2">
        <v>46204</v>
      </c>
      <c r="C5" s="3" t="s">
        <v>11</v>
      </c>
      <c r="D5" s="3" t="s">
        <v>41</v>
      </c>
      <c r="E5" s="3" t="s">
        <v>42</v>
      </c>
      <c r="F5" s="3">
        <v>25</v>
      </c>
      <c r="G5" s="3">
        <v>4</v>
      </c>
      <c r="H5" s="3">
        <v>21</v>
      </c>
      <c r="I5" s="3">
        <v>21</v>
      </c>
      <c r="J5" s="4">
        <v>21</v>
      </c>
      <c r="K5" s="3" t="s">
        <v>34</v>
      </c>
      <c r="L5" s="3" t="s">
        <v>35</v>
      </c>
      <c r="M5" s="3" t="s">
        <v>36</v>
      </c>
      <c r="N5" s="3" t="s">
        <v>37</v>
      </c>
      <c r="O5">
        <v>0</v>
      </c>
    </row>
    <row r="6" spans="1:15">
      <c r="A6">
        <v>1005</v>
      </c>
      <c r="B6" s="2">
        <v>46205</v>
      </c>
      <c r="C6" s="3" t="s">
        <v>11</v>
      </c>
      <c r="D6" s="3" t="s">
        <v>43</v>
      </c>
      <c r="E6" s="3" t="s">
        <v>4</v>
      </c>
      <c r="F6" s="3">
        <v>8</v>
      </c>
      <c r="G6" s="3">
        <v>2</v>
      </c>
      <c r="H6" s="3">
        <v>6</v>
      </c>
      <c r="I6" s="3">
        <v>6</v>
      </c>
      <c r="J6" s="4">
        <v>6</v>
      </c>
      <c r="K6" s="3" t="s">
        <v>44</v>
      </c>
      <c r="L6" s="3" t="s">
        <v>45</v>
      </c>
      <c r="M6" s="3" t="s">
        <v>46</v>
      </c>
      <c r="N6" s="3" t="s">
        <v>47</v>
      </c>
      <c r="O6">
        <v>0</v>
      </c>
    </row>
    <row r="7" spans="1:15">
      <c r="A7">
        <v>1006</v>
      </c>
      <c r="B7" s="2">
        <v>46205</v>
      </c>
      <c r="C7" s="3" t="s">
        <v>11</v>
      </c>
      <c r="D7" s="3" t="s">
        <v>48</v>
      </c>
      <c r="E7" s="3" t="s">
        <v>49</v>
      </c>
      <c r="F7" s="3">
        <v>30</v>
      </c>
      <c r="G7" s="3">
        <v>5</v>
      </c>
      <c r="H7" s="3">
        <v>25</v>
      </c>
      <c r="I7" s="3">
        <v>25</v>
      </c>
      <c r="J7" s="4">
        <v>25</v>
      </c>
      <c r="K7" s="3" t="s">
        <v>34</v>
      </c>
      <c r="L7" s="3" t="s">
        <v>35</v>
      </c>
      <c r="M7" s="3" t="s">
        <v>36</v>
      </c>
      <c r="N7" s="3" t="s">
        <v>37</v>
      </c>
      <c r="O7">
        <v>0</v>
      </c>
    </row>
    <row r="8" spans="1:15">
      <c r="A8">
        <v>1007</v>
      </c>
      <c r="B8" s="2">
        <v>46205</v>
      </c>
      <c r="C8" s="3" t="s">
        <v>11</v>
      </c>
      <c r="D8" s="3" t="s">
        <v>50</v>
      </c>
      <c r="E8" s="3" t="s">
        <v>51</v>
      </c>
      <c r="F8" s="3">
        <v>12</v>
      </c>
      <c r="G8" s="3">
        <v>3</v>
      </c>
      <c r="H8" s="3">
        <v>9</v>
      </c>
      <c r="I8" s="3">
        <v>9</v>
      </c>
      <c r="J8" s="4">
        <v>9</v>
      </c>
      <c r="K8" s="3" t="s">
        <v>34</v>
      </c>
      <c r="L8" s="3" t="s">
        <v>35</v>
      </c>
      <c r="M8" s="3" t="s">
        <v>36</v>
      </c>
      <c r="N8" s="3" t="s">
        <v>37</v>
      </c>
      <c r="O8">
        <v>0</v>
      </c>
    </row>
    <row r="9" spans="1:15">
      <c r="A9">
        <v>1008</v>
      </c>
      <c r="B9" s="2">
        <v>46206</v>
      </c>
      <c r="C9" s="3" t="s">
        <v>11</v>
      </c>
      <c r="D9" s="3" t="s">
        <v>52</v>
      </c>
      <c r="E9" s="3" t="s">
        <v>5</v>
      </c>
      <c r="F9" s="3">
        <v>9</v>
      </c>
      <c r="G9" s="3">
        <v>2</v>
      </c>
      <c r="H9" s="3">
        <v>7</v>
      </c>
      <c r="I9" s="3">
        <v>7</v>
      </c>
      <c r="J9" s="4">
        <v>7</v>
      </c>
      <c r="K9" s="3" t="s">
        <v>34</v>
      </c>
      <c r="L9" s="3" t="s">
        <v>35</v>
      </c>
      <c r="M9" s="3" t="s">
        <v>36</v>
      </c>
      <c r="N9" s="3" t="s">
        <v>37</v>
      </c>
      <c r="O9">
        <v>0</v>
      </c>
    </row>
    <row r="10" spans="1:15">
      <c r="A10">
        <v>1009</v>
      </c>
      <c r="B10" s="2">
        <v>46206</v>
      </c>
      <c r="C10" s="3" t="s">
        <v>11</v>
      </c>
      <c r="D10" s="3" t="s">
        <v>53</v>
      </c>
      <c r="E10" s="3" t="s">
        <v>54</v>
      </c>
      <c r="F10" s="3">
        <v>18</v>
      </c>
      <c r="G10" s="3">
        <v>4</v>
      </c>
      <c r="H10" s="3">
        <v>14</v>
      </c>
      <c r="I10" s="3">
        <v>14</v>
      </c>
      <c r="J10" s="4">
        <v>14</v>
      </c>
      <c r="K10" s="3" t="s">
        <v>34</v>
      </c>
      <c r="L10" s="3" t="s">
        <v>35</v>
      </c>
      <c r="M10" s="3" t="s">
        <v>36</v>
      </c>
      <c r="N10" s="3" t="s">
        <v>37</v>
      </c>
      <c r="O10">
        <v>0</v>
      </c>
    </row>
    <row r="11" spans="1:15">
      <c r="A11">
        <v>1010</v>
      </c>
      <c r="B11" s="2">
        <v>46206</v>
      </c>
      <c r="C11" s="3" t="s">
        <v>11</v>
      </c>
      <c r="D11" s="3" t="s">
        <v>55</v>
      </c>
      <c r="E11" s="3" t="s">
        <v>56</v>
      </c>
      <c r="F11" s="3">
        <v>14</v>
      </c>
      <c r="G11" s="3">
        <v>3</v>
      </c>
      <c r="H11" s="3">
        <v>11</v>
      </c>
      <c r="I11" s="3">
        <v>11</v>
      </c>
      <c r="J11" s="4">
        <v>11</v>
      </c>
      <c r="K11" s="3" t="s">
        <v>34</v>
      </c>
      <c r="L11" s="3" t="s">
        <v>35</v>
      </c>
      <c r="M11" s="3" t="s">
        <v>36</v>
      </c>
      <c r="N11" s="3" t="s">
        <v>37</v>
      </c>
      <c r="O11">
        <v>0</v>
      </c>
    </row>
    <row r="12" spans="1:15">
      <c r="A12">
        <v>1011</v>
      </c>
      <c r="B12" s="2">
        <v>46207</v>
      </c>
      <c r="C12" s="3" t="s">
        <v>12</v>
      </c>
      <c r="D12" s="3" t="s">
        <v>32</v>
      </c>
      <c r="E12" s="3" t="s">
        <v>33</v>
      </c>
      <c r="F12" s="3">
        <v>16</v>
      </c>
      <c r="G12" s="3">
        <v>4</v>
      </c>
      <c r="H12" s="3">
        <v>12</v>
      </c>
      <c r="I12" s="3">
        <v>12</v>
      </c>
      <c r="J12" s="4">
        <v>12</v>
      </c>
      <c r="K12" s="3" t="s">
        <v>34</v>
      </c>
      <c r="L12" s="3" t="s">
        <v>35</v>
      </c>
      <c r="M12" s="3" t="s">
        <v>36</v>
      </c>
      <c r="N12" s="3" t="s">
        <v>37</v>
      </c>
      <c r="O12">
        <v>0</v>
      </c>
    </row>
    <row r="13" spans="1:15">
      <c r="A13">
        <v>1012</v>
      </c>
      <c r="B13" s="2">
        <v>46207</v>
      </c>
      <c r="C13" s="3" t="s">
        <v>12</v>
      </c>
      <c r="D13" s="3" t="s">
        <v>38</v>
      </c>
      <c r="E13" s="3" t="s">
        <v>6</v>
      </c>
      <c r="F13" s="3">
        <v>10</v>
      </c>
      <c r="G13" s="3">
        <v>2</v>
      </c>
      <c r="H13" s="3">
        <v>8</v>
      </c>
      <c r="I13" s="3">
        <v>8</v>
      </c>
      <c r="J13" s="4">
        <v>8</v>
      </c>
      <c r="K13" s="3" t="s">
        <v>44</v>
      </c>
      <c r="L13" s="3" t="s">
        <v>45</v>
      </c>
      <c r="M13" s="3" t="s">
        <v>46</v>
      </c>
      <c r="N13" s="3" t="s">
        <v>47</v>
      </c>
      <c r="O13">
        <v>0</v>
      </c>
    </row>
    <row r="14" spans="1:15">
      <c r="A14">
        <v>1013</v>
      </c>
      <c r="B14" s="2">
        <v>46207</v>
      </c>
      <c r="C14" s="3" t="s">
        <v>12</v>
      </c>
      <c r="D14" s="3" t="s">
        <v>39</v>
      </c>
      <c r="E14" s="3" t="s">
        <v>40</v>
      </c>
      <c r="F14" s="3">
        <v>12</v>
      </c>
      <c r="G14" s="3">
        <v>3</v>
      </c>
      <c r="H14" s="3">
        <v>9</v>
      </c>
      <c r="I14" s="3">
        <v>9</v>
      </c>
      <c r="J14" s="4">
        <v>9</v>
      </c>
      <c r="K14" s="3" t="s">
        <v>34</v>
      </c>
      <c r="L14" s="3" t="s">
        <v>35</v>
      </c>
      <c r="M14" s="3" t="s">
        <v>36</v>
      </c>
      <c r="N14" s="3" t="s">
        <v>37</v>
      </c>
      <c r="O14">
        <v>0</v>
      </c>
    </row>
    <row r="15" spans="1:15">
      <c r="A15">
        <v>1014</v>
      </c>
      <c r="B15" s="2">
        <v>46208</v>
      </c>
      <c r="C15" s="3" t="s">
        <v>12</v>
      </c>
      <c r="D15" s="3" t="s">
        <v>41</v>
      </c>
      <c r="E15" s="3" t="s">
        <v>42</v>
      </c>
      <c r="F15" s="3">
        <v>20</v>
      </c>
      <c r="G15" s="3">
        <v>5</v>
      </c>
      <c r="H15" s="3">
        <v>15</v>
      </c>
      <c r="I15" s="3">
        <v>15</v>
      </c>
      <c r="J15" s="4">
        <v>15</v>
      </c>
      <c r="K15" s="3" t="s">
        <v>34</v>
      </c>
      <c r="L15" s="3" t="s">
        <v>35</v>
      </c>
      <c r="M15" s="3" t="s">
        <v>36</v>
      </c>
      <c r="N15" s="3" t="s">
        <v>37</v>
      </c>
      <c r="O15">
        <v>0</v>
      </c>
    </row>
    <row r="16" spans="1:15">
      <c r="A16">
        <v>1015</v>
      </c>
      <c r="B16" s="2">
        <v>46208</v>
      </c>
      <c r="C16" s="3" t="s">
        <v>12</v>
      </c>
      <c r="D16" s="3" t="s">
        <v>43</v>
      </c>
      <c r="E16" s="3" t="s">
        <v>4</v>
      </c>
      <c r="F16" s="3">
        <v>7</v>
      </c>
      <c r="G16" s="3">
        <v>3</v>
      </c>
      <c r="H16" s="3">
        <v>4</v>
      </c>
      <c r="I16" s="3">
        <v>4</v>
      </c>
      <c r="J16" s="4">
        <v>4</v>
      </c>
      <c r="K16" s="3" t="s">
        <v>34</v>
      </c>
      <c r="L16" s="3" t="s">
        <v>35</v>
      </c>
      <c r="M16" s="3" t="s">
        <v>36</v>
      </c>
      <c r="N16" s="3" t="s">
        <v>37</v>
      </c>
      <c r="O16">
        <v>0</v>
      </c>
    </row>
    <row r="17" spans="1:15">
      <c r="A17">
        <v>1016</v>
      </c>
      <c r="B17" s="2">
        <v>46208</v>
      </c>
      <c r="C17" s="3" t="s">
        <v>12</v>
      </c>
      <c r="D17" s="3" t="s">
        <v>48</v>
      </c>
      <c r="E17" s="3" t="s">
        <v>49</v>
      </c>
      <c r="F17" s="3">
        <v>25</v>
      </c>
      <c r="G17" s="3">
        <v>5</v>
      </c>
      <c r="H17" s="3">
        <v>20</v>
      </c>
      <c r="I17" s="3">
        <v>20</v>
      </c>
      <c r="J17" s="4">
        <v>20</v>
      </c>
      <c r="K17" s="3" t="s">
        <v>34</v>
      </c>
      <c r="L17" s="3" t="s">
        <v>35</v>
      </c>
      <c r="M17" s="3" t="s">
        <v>36</v>
      </c>
      <c r="N17" s="3" t="s">
        <v>37</v>
      </c>
      <c r="O17">
        <v>0</v>
      </c>
    </row>
    <row r="18" spans="1:15">
      <c r="A18">
        <v>1017</v>
      </c>
      <c r="B18" s="2">
        <v>46209</v>
      </c>
      <c r="C18" s="3" t="s">
        <v>12</v>
      </c>
      <c r="D18" s="3" t="s">
        <v>50</v>
      </c>
      <c r="E18" s="3" t="s">
        <v>51</v>
      </c>
      <c r="F18" s="3">
        <v>8</v>
      </c>
      <c r="G18" s="3">
        <v>3</v>
      </c>
      <c r="H18" s="3">
        <v>5</v>
      </c>
      <c r="I18" s="3">
        <v>5</v>
      </c>
      <c r="J18" s="4">
        <v>5</v>
      </c>
      <c r="K18" s="3" t="s">
        <v>34</v>
      </c>
      <c r="L18" s="3" t="s">
        <v>35</v>
      </c>
      <c r="M18" s="3" t="s">
        <v>36</v>
      </c>
      <c r="N18" s="3" t="s">
        <v>37</v>
      </c>
      <c r="O18">
        <v>0</v>
      </c>
    </row>
    <row r="19" spans="1:15">
      <c r="A19">
        <v>1018</v>
      </c>
      <c r="B19" s="2">
        <v>46209</v>
      </c>
      <c r="C19" s="3" t="s">
        <v>12</v>
      </c>
      <c r="D19" s="3" t="s">
        <v>52</v>
      </c>
      <c r="E19" s="3" t="s">
        <v>5</v>
      </c>
      <c r="F19" s="3">
        <v>10</v>
      </c>
      <c r="G19" s="3">
        <v>4</v>
      </c>
      <c r="H19" s="3">
        <v>6</v>
      </c>
      <c r="I19" s="3">
        <v>6</v>
      </c>
      <c r="J19" s="4">
        <v>6</v>
      </c>
      <c r="K19" s="3" t="s">
        <v>34</v>
      </c>
      <c r="L19" s="3" t="s">
        <v>35</v>
      </c>
      <c r="M19" s="3" t="s">
        <v>36</v>
      </c>
      <c r="N19" s="3" t="s">
        <v>37</v>
      </c>
      <c r="O19">
        <v>0</v>
      </c>
    </row>
    <row r="20" spans="1:15">
      <c r="A20">
        <v>1019</v>
      </c>
      <c r="B20" s="2">
        <v>46209</v>
      </c>
      <c r="C20" s="3" t="s">
        <v>12</v>
      </c>
      <c r="D20" s="3" t="s">
        <v>53</v>
      </c>
      <c r="E20" s="3" t="s">
        <v>54</v>
      </c>
      <c r="F20" s="3">
        <v>15</v>
      </c>
      <c r="G20" s="3">
        <v>5</v>
      </c>
      <c r="H20" s="3">
        <v>10</v>
      </c>
      <c r="I20" s="3">
        <v>10</v>
      </c>
      <c r="J20" s="4">
        <v>10</v>
      </c>
      <c r="K20" s="3" t="s">
        <v>34</v>
      </c>
      <c r="L20" s="3" t="s">
        <v>35</v>
      </c>
      <c r="M20" s="3" t="s">
        <v>36</v>
      </c>
      <c r="N20" s="3" t="s">
        <v>37</v>
      </c>
      <c r="O20">
        <v>0</v>
      </c>
    </row>
    <row r="21" spans="1:15">
      <c r="A21">
        <v>1020</v>
      </c>
      <c r="B21" s="2">
        <v>46210</v>
      </c>
      <c r="C21" s="3" t="s">
        <v>12</v>
      </c>
      <c r="D21" s="3" t="s">
        <v>55</v>
      </c>
      <c r="E21" s="3" t="s">
        <v>56</v>
      </c>
      <c r="F21" s="3">
        <v>12</v>
      </c>
      <c r="G21" s="3">
        <v>4</v>
      </c>
      <c r="H21" s="3">
        <v>8</v>
      </c>
      <c r="I21" s="3">
        <v>8</v>
      </c>
      <c r="J21" s="4">
        <v>8</v>
      </c>
      <c r="K21" s="3" t="s">
        <v>34</v>
      </c>
      <c r="L21" s="3" t="s">
        <v>35</v>
      </c>
      <c r="M21" s="3" t="s">
        <v>36</v>
      </c>
      <c r="N21" s="3" t="s">
        <v>37</v>
      </c>
      <c r="O21">
        <v>0</v>
      </c>
    </row>
    <row r="22" spans="1:15">
      <c r="A22">
        <v>1021</v>
      </c>
      <c r="B22" s="2">
        <v>46210</v>
      </c>
      <c r="C22" s="3" t="s">
        <v>13</v>
      </c>
      <c r="D22" s="3" t="s">
        <v>32</v>
      </c>
      <c r="E22" s="3" t="s">
        <v>33</v>
      </c>
      <c r="F22" s="3">
        <v>18</v>
      </c>
      <c r="G22" s="3">
        <v>3</v>
      </c>
      <c r="H22" s="3">
        <v>15</v>
      </c>
      <c r="I22" s="3">
        <v>15</v>
      </c>
      <c r="J22" s="4">
        <v>15</v>
      </c>
      <c r="K22" s="3" t="s">
        <v>34</v>
      </c>
      <c r="L22" s="3" t="s">
        <v>35</v>
      </c>
      <c r="M22" s="3" t="s">
        <v>36</v>
      </c>
      <c r="N22" s="3" t="s">
        <v>37</v>
      </c>
      <c r="O22">
        <v>0</v>
      </c>
    </row>
    <row r="23" spans="1:15">
      <c r="A23">
        <v>1022</v>
      </c>
      <c r="B23" s="2">
        <v>46211</v>
      </c>
      <c r="C23" s="3" t="s">
        <v>13</v>
      </c>
      <c r="D23" s="3" t="s">
        <v>38</v>
      </c>
      <c r="E23" s="3" t="s">
        <v>6</v>
      </c>
      <c r="F23" s="3">
        <v>20</v>
      </c>
      <c r="G23" s="3">
        <v>5</v>
      </c>
      <c r="H23" s="3">
        <v>15</v>
      </c>
      <c r="I23" s="3">
        <v>15</v>
      </c>
      <c r="J23" s="4">
        <v>15</v>
      </c>
      <c r="K23" s="3" t="s">
        <v>34</v>
      </c>
      <c r="L23" s="3" t="s">
        <v>35</v>
      </c>
      <c r="M23" s="3" t="s">
        <v>36</v>
      </c>
      <c r="N23" s="3" t="s">
        <v>37</v>
      </c>
      <c r="O23">
        <v>0</v>
      </c>
    </row>
    <row r="24" spans="1:15">
      <c r="A24">
        <v>1023</v>
      </c>
      <c r="B24" s="2">
        <v>46211</v>
      </c>
      <c r="C24" s="3" t="s">
        <v>13</v>
      </c>
      <c r="D24" s="3" t="s">
        <v>39</v>
      </c>
      <c r="E24" s="3" t="s">
        <v>40</v>
      </c>
      <c r="F24" s="3">
        <v>8</v>
      </c>
      <c r="G24" s="3">
        <v>3</v>
      </c>
      <c r="H24" s="3">
        <v>5</v>
      </c>
      <c r="I24" s="3">
        <v>5</v>
      </c>
      <c r="J24" s="4">
        <v>5</v>
      </c>
      <c r="K24" s="3" t="s">
        <v>34</v>
      </c>
      <c r="L24" s="3" t="s">
        <v>35</v>
      </c>
      <c r="M24" s="3" t="s">
        <v>36</v>
      </c>
      <c r="N24" s="3" t="s">
        <v>37</v>
      </c>
      <c r="O24">
        <v>0</v>
      </c>
    </row>
    <row r="25" spans="1:15">
      <c r="A25">
        <v>1024</v>
      </c>
      <c r="B25" s="2">
        <v>46211</v>
      </c>
      <c r="C25" s="3" t="s">
        <v>13</v>
      </c>
      <c r="D25" s="3" t="s">
        <v>41</v>
      </c>
      <c r="E25" s="3" t="s">
        <v>42</v>
      </c>
      <c r="F25" s="3">
        <v>18</v>
      </c>
      <c r="G25" s="3">
        <v>4</v>
      </c>
      <c r="H25" s="3">
        <v>14</v>
      </c>
      <c r="I25" s="3">
        <v>16</v>
      </c>
      <c r="J25" s="4">
        <v>14</v>
      </c>
      <c r="K25" s="3" t="s">
        <v>34</v>
      </c>
      <c r="L25" s="3" t="s">
        <v>35</v>
      </c>
      <c r="M25" s="3" t="s">
        <v>36</v>
      </c>
      <c r="N25" s="3" t="s">
        <v>57</v>
      </c>
      <c r="O25">
        <v>2</v>
      </c>
    </row>
    <row r="26" spans="1:15">
      <c r="A26">
        <v>1025</v>
      </c>
      <c r="B26" s="2">
        <v>46212</v>
      </c>
      <c r="C26" s="3" t="s">
        <v>13</v>
      </c>
      <c r="D26" s="3" t="s">
        <v>43</v>
      </c>
      <c r="E26" s="3" t="s">
        <v>4</v>
      </c>
      <c r="F26" s="3">
        <v>6</v>
      </c>
      <c r="G26" s="3">
        <v>2</v>
      </c>
      <c r="H26" s="3">
        <v>4</v>
      </c>
      <c r="I26" s="3">
        <v>6</v>
      </c>
      <c r="J26" s="4">
        <v>0</v>
      </c>
      <c r="K26" s="3" t="s">
        <v>44</v>
      </c>
      <c r="L26" s="3" t="s">
        <v>45</v>
      </c>
      <c r="M26" s="3" t="s">
        <v>46</v>
      </c>
      <c r="N26" s="3" t="s">
        <v>57</v>
      </c>
      <c r="O26">
        <v>6</v>
      </c>
    </row>
    <row r="27" spans="1:15">
      <c r="A27">
        <v>1026</v>
      </c>
      <c r="B27" s="2">
        <v>46212</v>
      </c>
      <c r="C27" s="3" t="s">
        <v>13</v>
      </c>
      <c r="D27" s="3" t="s">
        <v>48</v>
      </c>
      <c r="E27" s="3" t="s">
        <v>49</v>
      </c>
      <c r="F27" s="3">
        <v>20</v>
      </c>
      <c r="G27" s="3">
        <v>4</v>
      </c>
      <c r="H27" s="3">
        <v>16</v>
      </c>
      <c r="I27" s="3">
        <v>16</v>
      </c>
      <c r="J27" s="4">
        <v>16</v>
      </c>
      <c r="K27" s="3" t="s">
        <v>34</v>
      </c>
      <c r="L27" s="3" t="s">
        <v>35</v>
      </c>
      <c r="M27" s="3" t="s">
        <v>36</v>
      </c>
      <c r="N27" s="3" t="s">
        <v>37</v>
      </c>
      <c r="O27">
        <v>0</v>
      </c>
    </row>
    <row r="28" spans="1:15">
      <c r="A28">
        <v>1027</v>
      </c>
      <c r="B28" s="2">
        <v>46212</v>
      </c>
      <c r="C28" s="3" t="s">
        <v>13</v>
      </c>
      <c r="D28" s="3" t="s">
        <v>50</v>
      </c>
      <c r="E28" s="3" t="s">
        <v>51</v>
      </c>
      <c r="F28" s="3">
        <v>10</v>
      </c>
      <c r="G28" s="3">
        <v>3</v>
      </c>
      <c r="H28" s="3">
        <v>7</v>
      </c>
      <c r="I28" s="3">
        <v>7</v>
      </c>
      <c r="J28" s="4">
        <v>7</v>
      </c>
      <c r="K28" s="3" t="s">
        <v>34</v>
      </c>
      <c r="L28" s="3" t="s">
        <v>35</v>
      </c>
      <c r="M28" s="3" t="s">
        <v>36</v>
      </c>
      <c r="N28" s="3" t="s">
        <v>37</v>
      </c>
      <c r="O28">
        <v>0</v>
      </c>
    </row>
    <row r="29" spans="1:15">
      <c r="A29">
        <v>1028</v>
      </c>
      <c r="B29" s="2">
        <v>46213</v>
      </c>
      <c r="C29" s="3" t="s">
        <v>13</v>
      </c>
      <c r="D29" s="3" t="s">
        <v>52</v>
      </c>
      <c r="E29" s="3" t="s">
        <v>5</v>
      </c>
      <c r="F29" s="3">
        <v>7</v>
      </c>
      <c r="G29" s="3">
        <v>2</v>
      </c>
      <c r="H29" s="3">
        <v>5</v>
      </c>
      <c r="I29" s="3">
        <v>7</v>
      </c>
      <c r="J29" s="4">
        <v>0</v>
      </c>
      <c r="K29" s="3" t="s">
        <v>44</v>
      </c>
      <c r="L29" s="3" t="s">
        <v>45</v>
      </c>
      <c r="M29" s="3" t="s">
        <v>46</v>
      </c>
      <c r="N29" s="3" t="s">
        <v>57</v>
      </c>
      <c r="O29">
        <v>7</v>
      </c>
    </row>
    <row r="30" spans="1:15">
      <c r="A30">
        <v>1029</v>
      </c>
      <c r="B30" s="2">
        <v>46213</v>
      </c>
      <c r="C30" s="3" t="s">
        <v>13</v>
      </c>
      <c r="D30" s="3" t="s">
        <v>53</v>
      </c>
      <c r="E30" s="3" t="s">
        <v>54</v>
      </c>
      <c r="F30" s="3">
        <v>16</v>
      </c>
      <c r="G30" s="3">
        <v>5</v>
      </c>
      <c r="H30" s="3">
        <v>11</v>
      </c>
      <c r="I30" s="3">
        <v>11</v>
      </c>
      <c r="J30" s="4">
        <v>11</v>
      </c>
      <c r="K30" s="3" t="s">
        <v>34</v>
      </c>
      <c r="L30" s="3" t="s">
        <v>35</v>
      </c>
      <c r="M30" s="3" t="s">
        <v>36</v>
      </c>
      <c r="N30" s="3" t="s">
        <v>37</v>
      </c>
      <c r="O30">
        <v>0</v>
      </c>
    </row>
    <row r="31" spans="1:15">
      <c r="A31">
        <v>1030</v>
      </c>
      <c r="B31" s="2">
        <v>46213</v>
      </c>
      <c r="C31" s="3" t="s">
        <v>13</v>
      </c>
      <c r="D31" s="3" t="s">
        <v>55</v>
      </c>
      <c r="E31" s="3" t="s">
        <v>56</v>
      </c>
      <c r="F31" s="3">
        <v>10</v>
      </c>
      <c r="G31" s="3">
        <v>3</v>
      </c>
      <c r="H31" s="3">
        <v>7</v>
      </c>
      <c r="I31" s="3">
        <v>7</v>
      </c>
      <c r="J31" s="4">
        <v>7</v>
      </c>
      <c r="K31" s="3" t="s">
        <v>34</v>
      </c>
      <c r="L31" s="3" t="s">
        <v>35</v>
      </c>
      <c r="M31" s="3" t="s">
        <v>36</v>
      </c>
      <c r="N31" s="3" t="s">
        <v>37</v>
      </c>
      <c r="O31">
        <v>0</v>
      </c>
    </row>
    <row r="32" spans="1:15">
      <c r="A32">
        <v>1031</v>
      </c>
      <c r="B32" s="2">
        <v>46214</v>
      </c>
      <c r="C32" s="3" t="s">
        <v>14</v>
      </c>
      <c r="D32" s="3" t="s">
        <v>32</v>
      </c>
      <c r="E32" s="3" t="s">
        <v>33</v>
      </c>
      <c r="F32" s="3">
        <v>14</v>
      </c>
      <c r="G32" s="3">
        <v>3</v>
      </c>
      <c r="H32" s="3">
        <v>11</v>
      </c>
      <c r="I32" s="3">
        <v>11</v>
      </c>
      <c r="J32" s="4">
        <v>11</v>
      </c>
      <c r="K32" s="3" t="s">
        <v>34</v>
      </c>
      <c r="L32" s="3" t="s">
        <v>35</v>
      </c>
      <c r="M32" s="3" t="s">
        <v>36</v>
      </c>
      <c r="N32" s="3" t="s">
        <v>37</v>
      </c>
      <c r="O32">
        <v>0</v>
      </c>
    </row>
    <row r="33" spans="1:15">
      <c r="A33">
        <v>1032</v>
      </c>
      <c r="B33" s="2">
        <v>46214</v>
      </c>
      <c r="C33" s="3" t="s">
        <v>14</v>
      </c>
      <c r="D33" s="3" t="s">
        <v>38</v>
      </c>
      <c r="E33" s="3" t="s">
        <v>6</v>
      </c>
      <c r="F33" s="3">
        <v>12</v>
      </c>
      <c r="G33" s="3">
        <v>4</v>
      </c>
      <c r="H33" s="3">
        <v>8</v>
      </c>
      <c r="I33" s="3">
        <v>8</v>
      </c>
      <c r="J33" s="4">
        <v>8</v>
      </c>
      <c r="K33" s="3" t="s">
        <v>34</v>
      </c>
      <c r="L33" s="3" t="s">
        <v>35</v>
      </c>
      <c r="M33" s="3" t="s">
        <v>36</v>
      </c>
      <c r="N33" s="3" t="s">
        <v>37</v>
      </c>
      <c r="O33">
        <v>0</v>
      </c>
    </row>
    <row r="34" spans="1:15">
      <c r="A34">
        <v>1033</v>
      </c>
      <c r="B34" s="2">
        <v>46215</v>
      </c>
      <c r="C34" s="3" t="s">
        <v>14</v>
      </c>
      <c r="D34" s="3" t="s">
        <v>39</v>
      </c>
      <c r="E34" s="3" t="s">
        <v>40</v>
      </c>
      <c r="F34" s="3">
        <v>9</v>
      </c>
      <c r="G34" s="3">
        <v>4</v>
      </c>
      <c r="H34" s="3">
        <v>5</v>
      </c>
      <c r="I34" s="3">
        <v>5</v>
      </c>
      <c r="J34" s="4">
        <v>5</v>
      </c>
      <c r="K34" s="3" t="s">
        <v>34</v>
      </c>
      <c r="L34" s="3" t="s">
        <v>35</v>
      </c>
      <c r="M34" s="3" t="s">
        <v>36</v>
      </c>
      <c r="N34" s="3" t="s">
        <v>37</v>
      </c>
      <c r="O34">
        <v>0</v>
      </c>
    </row>
    <row r="35" spans="1:15">
      <c r="A35">
        <v>1034</v>
      </c>
      <c r="B35" s="2">
        <v>46215</v>
      </c>
      <c r="C35" s="3" t="s">
        <v>14</v>
      </c>
      <c r="D35" s="3" t="s">
        <v>41</v>
      </c>
      <c r="E35" s="3" t="s">
        <v>42</v>
      </c>
      <c r="F35" s="3">
        <v>22</v>
      </c>
      <c r="G35" s="3">
        <v>6</v>
      </c>
      <c r="H35" s="3">
        <v>16</v>
      </c>
      <c r="I35" s="3">
        <v>16</v>
      </c>
      <c r="J35" s="4">
        <v>16</v>
      </c>
      <c r="K35" s="3" t="s">
        <v>34</v>
      </c>
      <c r="L35" s="3" t="s">
        <v>35</v>
      </c>
      <c r="M35" s="3" t="s">
        <v>36</v>
      </c>
      <c r="N35" s="3" t="s">
        <v>37</v>
      </c>
      <c r="O35">
        <v>0</v>
      </c>
    </row>
    <row r="36" spans="1:15">
      <c r="A36">
        <v>1035</v>
      </c>
      <c r="B36" s="2">
        <v>46215</v>
      </c>
      <c r="C36" s="3" t="s">
        <v>14</v>
      </c>
      <c r="D36" s="3" t="s">
        <v>43</v>
      </c>
      <c r="E36" s="3" t="s">
        <v>4</v>
      </c>
      <c r="F36" s="3">
        <v>5</v>
      </c>
      <c r="G36" s="3">
        <v>2</v>
      </c>
      <c r="H36" s="3">
        <v>3</v>
      </c>
      <c r="I36" s="3">
        <v>5</v>
      </c>
      <c r="J36" s="4">
        <v>0</v>
      </c>
      <c r="K36" s="3" t="s">
        <v>44</v>
      </c>
      <c r="L36" s="3" t="s">
        <v>45</v>
      </c>
      <c r="M36" s="3" t="s">
        <v>46</v>
      </c>
      <c r="N36" s="3" t="s">
        <v>57</v>
      </c>
      <c r="O36">
        <v>5</v>
      </c>
    </row>
    <row r="37" spans="1:15">
      <c r="A37">
        <v>1036</v>
      </c>
      <c r="B37" s="2">
        <v>46216</v>
      </c>
      <c r="C37" s="3" t="s">
        <v>14</v>
      </c>
      <c r="D37" s="3" t="s">
        <v>48</v>
      </c>
      <c r="E37" s="3" t="s">
        <v>49</v>
      </c>
      <c r="F37" s="3">
        <v>28</v>
      </c>
      <c r="G37" s="3">
        <v>6</v>
      </c>
      <c r="H37" s="3">
        <v>22</v>
      </c>
      <c r="I37" s="3">
        <v>22</v>
      </c>
      <c r="J37" s="4">
        <v>22</v>
      </c>
      <c r="K37" s="3" t="s">
        <v>34</v>
      </c>
      <c r="L37" s="3" t="s">
        <v>35</v>
      </c>
      <c r="M37" s="3" t="s">
        <v>36</v>
      </c>
      <c r="N37" s="3" t="s">
        <v>37</v>
      </c>
      <c r="O37">
        <v>0</v>
      </c>
    </row>
    <row r="38" spans="1:15">
      <c r="A38">
        <v>1037</v>
      </c>
      <c r="B38" s="2">
        <v>46216</v>
      </c>
      <c r="C38" s="3" t="s">
        <v>14</v>
      </c>
      <c r="D38" s="3" t="s">
        <v>50</v>
      </c>
      <c r="E38" s="3" t="s">
        <v>51</v>
      </c>
      <c r="F38" s="3">
        <v>11</v>
      </c>
      <c r="G38" s="3">
        <v>4</v>
      </c>
      <c r="H38" s="3">
        <v>7</v>
      </c>
      <c r="I38" s="3">
        <v>7</v>
      </c>
      <c r="J38" s="4">
        <v>7</v>
      </c>
      <c r="K38" s="3" t="s">
        <v>34</v>
      </c>
      <c r="L38" s="3" t="s">
        <v>35</v>
      </c>
      <c r="M38" s="3" t="s">
        <v>36</v>
      </c>
      <c r="N38" s="3" t="s">
        <v>37</v>
      </c>
      <c r="O38">
        <v>0</v>
      </c>
    </row>
    <row r="39" spans="1:15">
      <c r="A39">
        <v>1038</v>
      </c>
      <c r="B39" s="2">
        <v>46216</v>
      </c>
      <c r="C39" s="3" t="s">
        <v>14</v>
      </c>
      <c r="D39" s="3" t="s">
        <v>52</v>
      </c>
      <c r="E39" s="3" t="s">
        <v>5</v>
      </c>
      <c r="F39" s="3">
        <v>8</v>
      </c>
      <c r="G39" s="3">
        <v>3</v>
      </c>
      <c r="H39" s="3">
        <v>5</v>
      </c>
      <c r="I39" s="3">
        <v>5</v>
      </c>
      <c r="J39" s="4">
        <v>5</v>
      </c>
      <c r="K39" s="3" t="s">
        <v>34</v>
      </c>
      <c r="L39" s="3" t="s">
        <v>35</v>
      </c>
      <c r="M39" s="3" t="s">
        <v>36</v>
      </c>
      <c r="N39" s="3" t="s">
        <v>37</v>
      </c>
      <c r="O39">
        <v>0</v>
      </c>
    </row>
    <row r="40" spans="1:15">
      <c r="A40">
        <v>1039</v>
      </c>
      <c r="B40" s="2">
        <v>46217</v>
      </c>
      <c r="C40" s="3" t="s">
        <v>14</v>
      </c>
      <c r="D40" s="3" t="s">
        <v>53</v>
      </c>
      <c r="E40" s="3" t="s">
        <v>54</v>
      </c>
      <c r="F40" s="3">
        <v>14</v>
      </c>
      <c r="G40" s="3">
        <v>4</v>
      </c>
      <c r="H40" s="3">
        <v>10</v>
      </c>
      <c r="I40" s="3">
        <v>10</v>
      </c>
      <c r="J40" s="4">
        <v>10</v>
      </c>
      <c r="K40" s="3" t="s">
        <v>34</v>
      </c>
      <c r="L40" s="3" t="s">
        <v>35</v>
      </c>
      <c r="M40" s="3" t="s">
        <v>36</v>
      </c>
      <c r="N40" s="3" t="s">
        <v>37</v>
      </c>
      <c r="O40">
        <v>0</v>
      </c>
    </row>
    <row r="41" spans="1:15">
      <c r="A41">
        <v>1040</v>
      </c>
      <c r="B41" s="2">
        <v>46217</v>
      </c>
      <c r="C41" s="3" t="s">
        <v>14</v>
      </c>
      <c r="D41" s="3" t="s">
        <v>55</v>
      </c>
      <c r="E41" s="3" t="s">
        <v>56</v>
      </c>
      <c r="F41" s="3">
        <v>13</v>
      </c>
      <c r="G41" s="3">
        <v>3</v>
      </c>
      <c r="H41" s="3">
        <v>10</v>
      </c>
      <c r="I41" s="3">
        <v>10</v>
      </c>
      <c r="J41" s="4">
        <v>10</v>
      </c>
      <c r="K41" s="3" t="s">
        <v>34</v>
      </c>
      <c r="L41" s="3" t="s">
        <v>35</v>
      </c>
      <c r="M41" s="3" t="s">
        <v>36</v>
      </c>
      <c r="N41" s="3" t="s">
        <v>37</v>
      </c>
      <c r="O41">
        <v>0</v>
      </c>
    </row>
    <row r="42" spans="1:15">
      <c r="A42">
        <v>1041</v>
      </c>
      <c r="B42" s="2">
        <v>46218</v>
      </c>
      <c r="C42" s="3" t="s">
        <v>15</v>
      </c>
      <c r="D42" s="3" t="s">
        <v>32</v>
      </c>
      <c r="E42" s="3" t="s">
        <v>33</v>
      </c>
      <c r="F42" s="3">
        <v>17</v>
      </c>
      <c r="G42" s="3">
        <v>5</v>
      </c>
      <c r="H42" s="3">
        <v>12</v>
      </c>
      <c r="I42" s="3">
        <v>12</v>
      </c>
      <c r="J42" s="4">
        <v>12</v>
      </c>
      <c r="K42" s="3" t="s">
        <v>34</v>
      </c>
      <c r="L42" s="3" t="s">
        <v>35</v>
      </c>
      <c r="M42" s="3" t="s">
        <v>36</v>
      </c>
      <c r="N42" s="3" t="s">
        <v>37</v>
      </c>
      <c r="O42">
        <v>0</v>
      </c>
    </row>
    <row r="43" spans="1:15">
      <c r="A43">
        <v>1042</v>
      </c>
      <c r="B43" s="2">
        <v>46218</v>
      </c>
      <c r="C43" s="3" t="s">
        <v>15</v>
      </c>
      <c r="D43" s="3" t="s">
        <v>38</v>
      </c>
      <c r="E43" s="3" t="s">
        <v>6</v>
      </c>
      <c r="F43" s="3">
        <v>14</v>
      </c>
      <c r="G43" s="3">
        <v>4</v>
      </c>
      <c r="H43" s="3">
        <v>10</v>
      </c>
      <c r="I43" s="3">
        <v>10</v>
      </c>
      <c r="J43" s="4">
        <v>10</v>
      </c>
      <c r="K43" s="3" t="s">
        <v>34</v>
      </c>
      <c r="L43" s="3" t="s">
        <v>35</v>
      </c>
      <c r="M43" s="3" t="s">
        <v>36</v>
      </c>
      <c r="N43" s="3" t="s">
        <v>37</v>
      </c>
      <c r="O43">
        <v>0</v>
      </c>
    </row>
    <row r="44" spans="1:15">
      <c r="A44">
        <v>1043</v>
      </c>
      <c r="B44" s="2">
        <v>46219</v>
      </c>
      <c r="C44" s="3" t="s">
        <v>15</v>
      </c>
      <c r="D44" s="3" t="s">
        <v>39</v>
      </c>
      <c r="E44" s="3" t="s">
        <v>40</v>
      </c>
      <c r="F44" s="3">
        <v>11</v>
      </c>
      <c r="G44" s="3">
        <v>3</v>
      </c>
      <c r="H44" s="3">
        <v>8</v>
      </c>
      <c r="I44" s="3">
        <v>8</v>
      </c>
      <c r="J44" s="4">
        <v>8</v>
      </c>
      <c r="K44" s="3" t="s">
        <v>34</v>
      </c>
      <c r="L44" s="3" t="s">
        <v>35</v>
      </c>
      <c r="M44" s="3" t="s">
        <v>36</v>
      </c>
      <c r="N44" s="3" t="s">
        <v>37</v>
      </c>
      <c r="O44">
        <v>0</v>
      </c>
    </row>
    <row r="45" spans="1:15">
      <c r="A45">
        <v>1044</v>
      </c>
      <c r="B45" s="2">
        <v>46219</v>
      </c>
      <c r="C45" s="3" t="s">
        <v>15</v>
      </c>
      <c r="D45" s="3" t="s">
        <v>41</v>
      </c>
      <c r="E45" s="3" t="s">
        <v>42</v>
      </c>
      <c r="F45" s="3">
        <v>19</v>
      </c>
      <c r="G45" s="3">
        <v>4</v>
      </c>
      <c r="H45" s="3">
        <v>15</v>
      </c>
      <c r="I45" s="3">
        <v>15</v>
      </c>
      <c r="J45" s="4">
        <v>15</v>
      </c>
      <c r="K45" s="3" t="s">
        <v>34</v>
      </c>
      <c r="L45" s="3" t="s">
        <v>35</v>
      </c>
      <c r="M45" s="3" t="s">
        <v>36</v>
      </c>
      <c r="N45" s="3" t="s">
        <v>37</v>
      </c>
      <c r="O45">
        <v>0</v>
      </c>
    </row>
    <row r="46" spans="1:15">
      <c r="A46">
        <v>1045</v>
      </c>
      <c r="B46" s="2">
        <v>46219</v>
      </c>
      <c r="C46" s="3" t="s">
        <v>15</v>
      </c>
      <c r="D46" s="3" t="s">
        <v>43</v>
      </c>
      <c r="E46" s="3" t="s">
        <v>4</v>
      </c>
      <c r="F46" s="3">
        <v>7</v>
      </c>
      <c r="G46" s="3">
        <v>3</v>
      </c>
      <c r="H46" s="3">
        <v>4</v>
      </c>
      <c r="I46" s="3">
        <v>4</v>
      </c>
      <c r="J46" s="4">
        <v>4</v>
      </c>
      <c r="K46" s="3" t="s">
        <v>34</v>
      </c>
      <c r="L46" s="3" t="s">
        <v>35</v>
      </c>
      <c r="M46" s="3" t="s">
        <v>36</v>
      </c>
      <c r="N46" s="3" t="s">
        <v>37</v>
      </c>
      <c r="O46">
        <v>0</v>
      </c>
    </row>
    <row r="47" spans="1:15">
      <c r="A47">
        <v>1046</v>
      </c>
      <c r="B47" s="2">
        <v>46220</v>
      </c>
      <c r="C47" s="3" t="s">
        <v>15</v>
      </c>
      <c r="D47" s="3" t="s">
        <v>48</v>
      </c>
      <c r="E47" s="3" t="s">
        <v>49</v>
      </c>
      <c r="F47" s="3">
        <v>26</v>
      </c>
      <c r="G47" s="3">
        <v>5</v>
      </c>
      <c r="H47" s="3">
        <v>21</v>
      </c>
      <c r="I47" s="3">
        <v>21</v>
      </c>
      <c r="J47" s="4">
        <v>21</v>
      </c>
      <c r="K47" s="3" t="s">
        <v>34</v>
      </c>
      <c r="L47" s="3" t="s">
        <v>35</v>
      </c>
      <c r="M47" s="3" t="s">
        <v>36</v>
      </c>
      <c r="N47" s="3" t="s">
        <v>37</v>
      </c>
      <c r="O47">
        <v>0</v>
      </c>
    </row>
    <row r="48" spans="1:15">
      <c r="A48">
        <v>1047</v>
      </c>
      <c r="B48" s="2">
        <v>46220</v>
      </c>
      <c r="C48" s="3" t="s">
        <v>15</v>
      </c>
      <c r="D48" s="3" t="s">
        <v>50</v>
      </c>
      <c r="E48" s="3" t="s">
        <v>51</v>
      </c>
      <c r="F48" s="3">
        <v>9</v>
      </c>
      <c r="G48" s="3">
        <v>3</v>
      </c>
      <c r="H48" s="3">
        <v>6</v>
      </c>
      <c r="I48" s="3">
        <v>8</v>
      </c>
      <c r="J48" s="4">
        <v>6</v>
      </c>
      <c r="K48" s="3" t="s">
        <v>34</v>
      </c>
      <c r="L48" s="3" t="s">
        <v>35</v>
      </c>
      <c r="M48" s="3" t="s">
        <v>36</v>
      </c>
      <c r="N48" s="3" t="s">
        <v>57</v>
      </c>
      <c r="O48">
        <v>2</v>
      </c>
    </row>
    <row r="49" spans="1:15">
      <c r="A49">
        <v>1048</v>
      </c>
      <c r="B49" s="2">
        <v>46221</v>
      </c>
      <c r="C49" s="3" t="s">
        <v>15</v>
      </c>
      <c r="D49" s="3" t="s">
        <v>52</v>
      </c>
      <c r="E49" s="3" t="s">
        <v>5</v>
      </c>
      <c r="F49" s="3">
        <v>6</v>
      </c>
      <c r="G49" s="3">
        <v>3</v>
      </c>
      <c r="H49" s="3">
        <v>3</v>
      </c>
      <c r="I49" s="3">
        <v>3</v>
      </c>
      <c r="J49" s="4">
        <v>3</v>
      </c>
      <c r="K49" s="3" t="s">
        <v>34</v>
      </c>
      <c r="L49" s="3" t="s">
        <v>35</v>
      </c>
      <c r="M49" s="3" t="s">
        <v>36</v>
      </c>
      <c r="N49" s="3" t="s">
        <v>37</v>
      </c>
      <c r="O49">
        <v>0</v>
      </c>
    </row>
    <row r="50" spans="1:15">
      <c r="A50">
        <v>1049</v>
      </c>
      <c r="B50" s="2">
        <v>46221</v>
      </c>
      <c r="C50" s="3" t="s">
        <v>15</v>
      </c>
      <c r="D50" s="3" t="s">
        <v>53</v>
      </c>
      <c r="E50" s="3" t="s">
        <v>54</v>
      </c>
      <c r="F50" s="3">
        <v>13</v>
      </c>
      <c r="G50" s="3">
        <v>5</v>
      </c>
      <c r="H50" s="3">
        <v>8</v>
      </c>
      <c r="I50" s="3">
        <v>8</v>
      </c>
      <c r="J50" s="4">
        <v>8</v>
      </c>
      <c r="K50" s="3" t="s">
        <v>34</v>
      </c>
      <c r="L50" s="3" t="s">
        <v>35</v>
      </c>
      <c r="M50" s="3" t="s">
        <v>36</v>
      </c>
      <c r="N50" s="3" t="s">
        <v>37</v>
      </c>
      <c r="O50">
        <v>0</v>
      </c>
    </row>
    <row r="51" spans="1:15">
      <c r="A51">
        <v>1050</v>
      </c>
      <c r="B51" s="2">
        <v>46221</v>
      </c>
      <c r="C51" s="3" t="s">
        <v>15</v>
      </c>
      <c r="D51" s="3" t="s">
        <v>55</v>
      </c>
      <c r="E51" s="3" t="s">
        <v>56</v>
      </c>
      <c r="F51" s="3">
        <v>11</v>
      </c>
      <c r="G51" s="3">
        <v>4</v>
      </c>
      <c r="H51" s="3">
        <v>7</v>
      </c>
      <c r="I51" s="3">
        <v>7</v>
      </c>
      <c r="J51" s="4">
        <v>7</v>
      </c>
      <c r="K51" s="3" t="s">
        <v>34</v>
      </c>
      <c r="L51" s="3" t="s">
        <v>35</v>
      </c>
      <c r="M51" s="3" t="s">
        <v>36</v>
      </c>
      <c r="N51" s="3" t="s">
        <v>37</v>
      </c>
      <c r="O51">
        <v>0</v>
      </c>
    </row>
    <row r="59" spans="1:15">
      <c r="C59"/>
      <c r="D59"/>
      <c r="E59"/>
      <c r="F59"/>
      <c r="M59"/>
      <c r="N59"/>
    </row>
    <row r="60" spans="1:15">
      <c r="C60"/>
      <c r="D60"/>
      <c r="E60"/>
      <c r="F60"/>
      <c r="H60"/>
      <c r="I60"/>
      <c r="J60"/>
      <c r="M60"/>
      <c r="N60"/>
    </row>
    <row r="61" spans="1:15">
      <c r="C61"/>
      <c r="D61"/>
      <c r="E61"/>
      <c r="F61"/>
      <c r="H61"/>
      <c r="I61"/>
      <c r="J61"/>
      <c r="M61"/>
      <c r="N61"/>
    </row>
    <row r="62" spans="1:15">
      <c r="C62"/>
      <c r="D62"/>
      <c r="E62"/>
      <c r="F62"/>
      <c r="H62"/>
      <c r="I62"/>
      <c r="J62"/>
      <c r="M62"/>
      <c r="N62"/>
    </row>
    <row r="63" spans="1:15">
      <c r="C63"/>
      <c r="D63"/>
      <c r="E63"/>
      <c r="F63"/>
      <c r="H63"/>
      <c r="I63"/>
      <c r="J63"/>
      <c r="M63"/>
      <c r="N63"/>
    </row>
    <row r="64" spans="1:15">
      <c r="C64"/>
      <c r="D64"/>
      <c r="E64"/>
      <c r="F64"/>
      <c r="H64"/>
      <c r="I64"/>
      <c r="J64"/>
      <c r="M64"/>
      <c r="N64"/>
    </row>
    <row r="65" spans="3:14">
      <c r="C65"/>
      <c r="D65"/>
      <c r="E65"/>
      <c r="F65"/>
      <c r="H65"/>
      <c r="I65"/>
      <c r="J65"/>
      <c r="M65"/>
      <c r="N65"/>
    </row>
    <row r="66" spans="3:14">
      <c r="C66"/>
      <c r="D66"/>
      <c r="E66"/>
      <c r="F66"/>
      <c r="H66"/>
      <c r="I66"/>
      <c r="J66"/>
      <c r="M66"/>
      <c r="N66"/>
    </row>
    <row r="67" spans="3:14">
      <c r="C67"/>
      <c r="D67"/>
      <c r="E67"/>
      <c r="H67"/>
      <c r="I67"/>
      <c r="J67"/>
      <c r="M67"/>
      <c r="N67"/>
    </row>
    <row r="68" spans="3:14">
      <c r="C68"/>
      <c r="D68"/>
      <c r="E68"/>
      <c r="H68"/>
      <c r="I68"/>
      <c r="J68"/>
      <c r="M68"/>
      <c r="N68"/>
    </row>
    <row r="69" spans="3:14">
      <c r="C69"/>
      <c r="D69"/>
      <c r="E69"/>
      <c r="H69"/>
      <c r="I69"/>
      <c r="J69"/>
      <c r="M69"/>
      <c r="N69"/>
    </row>
    <row r="70" spans="3:14">
      <c r="C70"/>
      <c r="D70"/>
      <c r="E70"/>
      <c r="H70"/>
      <c r="I70"/>
      <c r="J70"/>
      <c r="M70"/>
      <c r="N70"/>
    </row>
    <row r="71" spans="3:14">
      <c r="C71"/>
      <c r="D71"/>
      <c r="E71"/>
      <c r="H71"/>
      <c r="I71"/>
      <c r="J71"/>
      <c r="M71"/>
      <c r="N71"/>
    </row>
    <row r="72" spans="3:14">
      <c r="C72"/>
      <c r="D72"/>
      <c r="E72"/>
      <c r="H72"/>
      <c r="I72"/>
      <c r="J72"/>
      <c r="M72"/>
      <c r="N72"/>
    </row>
    <row r="73" spans="3:14">
      <c r="C73"/>
      <c r="D73"/>
      <c r="E73"/>
      <c r="H73"/>
      <c r="I73"/>
      <c r="J73"/>
      <c r="M73"/>
      <c r="N73"/>
    </row>
    <row r="74" spans="3:14">
      <c r="C74"/>
      <c r="D74"/>
      <c r="E74"/>
      <c r="H74"/>
      <c r="I74"/>
      <c r="J74"/>
      <c r="M74"/>
      <c r="N74"/>
    </row>
    <row r="75" spans="3:14">
      <c r="C75"/>
      <c r="D75"/>
      <c r="E75"/>
      <c r="H75"/>
      <c r="I75"/>
      <c r="J75"/>
      <c r="M75"/>
      <c r="N75"/>
    </row>
    <row r="76" spans="3:14">
      <c r="C76"/>
      <c r="D76"/>
      <c r="E76"/>
      <c r="H76"/>
      <c r="I76"/>
      <c r="J76"/>
      <c r="M76"/>
      <c r="N76"/>
    </row>
    <row r="77" spans="3:14">
      <c r="H77"/>
      <c r="I77"/>
      <c r="J77"/>
      <c r="M77"/>
      <c r="N77"/>
    </row>
    <row r="78" spans="3:14">
      <c r="M78"/>
    </row>
    <row r="79" spans="3:14">
      <c r="M79"/>
    </row>
    <row r="80" spans="3:14">
      <c r="M80"/>
    </row>
    <row r="81" spans="13:13">
      <c r="M81"/>
    </row>
    <row r="82" spans="13:13">
      <c r="M82"/>
    </row>
    <row r="83" spans="13:13">
      <c r="M83"/>
    </row>
    <row r="84" spans="13:13">
      <c r="M84"/>
    </row>
    <row r="85" spans="13:13">
      <c r="M85"/>
    </row>
    <row r="86" spans="13:13">
      <c r="M86"/>
    </row>
    <row r="87" spans="13:13">
      <c r="M87"/>
    </row>
    <row r="88" spans="13:13">
      <c r="M88"/>
    </row>
    <row r="89" spans="13:13">
      <c r="M89"/>
    </row>
    <row r="90" spans="13:13">
      <c r="M90"/>
    </row>
    <row r="91" spans="13:13">
      <c r="M91"/>
    </row>
    <row r="92" spans="13:13">
      <c r="M92"/>
    </row>
    <row r="93" spans="13:13">
      <c r="M93"/>
    </row>
    <row r="94" spans="13:13">
      <c r="M94"/>
    </row>
    <row r="95" spans="13:13">
      <c r="M95"/>
    </row>
    <row r="96" spans="13:13">
      <c r="M96"/>
    </row>
    <row r="97" spans="13:13">
      <c r="M97"/>
    </row>
    <row r="98" spans="13:13">
      <c r="M98"/>
    </row>
    <row r="99" spans="13:13">
      <c r="M99"/>
    </row>
    <row r="100" spans="13:13">
      <c r="M100"/>
    </row>
    <row r="101" spans="13:13">
      <c r="M101"/>
    </row>
    <row r="102" spans="13:13">
      <c r="M102"/>
    </row>
    <row r="103" spans="13:13">
      <c r="M103"/>
    </row>
    <row r="104" spans="13:13">
      <c r="M104"/>
    </row>
    <row r="105" spans="13:13">
      <c r="M105"/>
    </row>
    <row r="106" spans="13:13">
      <c r="M106"/>
    </row>
    <row r="107" spans="13:13">
      <c r="M107"/>
    </row>
    <row r="108" spans="13:13">
      <c r="M108"/>
    </row>
    <row r="109" spans="13:13">
      <c r="M109"/>
    </row>
    <row r="110" spans="13:13">
      <c r="M110"/>
    </row>
    <row r="111" spans="13:13">
      <c r="M11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D7" sqref="D7"/>
    </sheetView>
  </sheetViews>
  <sheetFormatPr defaultRowHeight="15"/>
  <cols>
    <col min="1" max="1" width="26" style="3" customWidth="1"/>
    <col min="2" max="2" width="58.5703125" style="3" customWidth="1"/>
  </cols>
  <sheetData>
    <row r="1" spans="1:2">
      <c r="A1" s="1" t="s">
        <v>58</v>
      </c>
      <c r="B1" s="1" t="s">
        <v>59</v>
      </c>
    </row>
    <row r="2" spans="1:2">
      <c r="A2" s="3" t="s">
        <v>20</v>
      </c>
      <c r="B2" s="3" t="s">
        <v>60</v>
      </c>
    </row>
    <row r="3" spans="1:2">
      <c r="A3" s="3" t="s">
        <v>21</v>
      </c>
      <c r="B3" s="3" t="s">
        <v>61</v>
      </c>
    </row>
    <row r="4" spans="1:2">
      <c r="A4" s="3" t="s">
        <v>9</v>
      </c>
      <c r="B4" s="3" t="s">
        <v>62</v>
      </c>
    </row>
    <row r="5" spans="1:2">
      <c r="A5" s="3" t="s">
        <v>22</v>
      </c>
      <c r="B5" s="3" t="s">
        <v>63</v>
      </c>
    </row>
    <row r="6" spans="1:2">
      <c r="A6" s="3" t="s">
        <v>2</v>
      </c>
      <c r="B6" s="3" t="s">
        <v>64</v>
      </c>
    </row>
    <row r="7" spans="1:2">
      <c r="A7" s="3" t="s">
        <v>23</v>
      </c>
      <c r="B7" s="3" t="s">
        <v>65</v>
      </c>
    </row>
    <row r="8" spans="1:2">
      <c r="A8" s="3" t="s">
        <v>24</v>
      </c>
      <c r="B8" s="3" t="s">
        <v>66</v>
      </c>
    </row>
    <row r="9" spans="1:2">
      <c r="A9" s="3" t="s">
        <v>25</v>
      </c>
      <c r="B9" s="3" t="s">
        <v>67</v>
      </c>
    </row>
    <row r="10" spans="1:2">
      <c r="A10" s="3" t="s">
        <v>26</v>
      </c>
      <c r="B10" s="3" t="s">
        <v>68</v>
      </c>
    </row>
    <row r="11" spans="1:2">
      <c r="A11" s="3" t="s">
        <v>27</v>
      </c>
      <c r="B11" s="3" t="s">
        <v>69</v>
      </c>
    </row>
    <row r="12" spans="1:2">
      <c r="A12" s="3" t="s">
        <v>28</v>
      </c>
      <c r="B12" s="3" t="s">
        <v>70</v>
      </c>
    </row>
    <row r="13" spans="1:2">
      <c r="A13" s="3" t="s">
        <v>29</v>
      </c>
      <c r="B13" s="3" t="s">
        <v>71</v>
      </c>
    </row>
    <row r="14" spans="1:2">
      <c r="A14" s="3" t="s">
        <v>30</v>
      </c>
      <c r="B14" s="3" t="s">
        <v>72</v>
      </c>
    </row>
    <row r="15" spans="1:2">
      <c r="A15" s="3" t="s">
        <v>8</v>
      </c>
      <c r="B15" s="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2026-08-21T04:32:43Z</dcterms:created>
  <dcterms:modified xsi:type="dcterms:W3CDTF">2026-09-01T04:23:08Z</dcterms:modified>
  <cp:category/>
  <cp:contentStatus/>
</cp:coreProperties>
</file>